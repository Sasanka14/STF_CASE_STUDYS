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l_Customers" sheetId="1" r:id="rId4"/>
    <sheet state="visible" name="Pivot Table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<sst xmlns="http://schemas.openxmlformats.org/spreadsheetml/2006/main" count="230" uniqueCount="25">
  <si>
    <t>CustomerID</t>
  </si>
  <si>
    <t>Genre</t>
  </si>
  <si>
    <t>Age</t>
  </si>
  <si>
    <t>Annual_Income_(k$)</t>
  </si>
  <si>
    <t>Spending_Score</t>
  </si>
  <si>
    <t xml:space="preserve"> </t>
  </si>
  <si>
    <t>Income Category</t>
  </si>
  <si>
    <t>Spending Category</t>
  </si>
  <si>
    <t>Male</t>
  </si>
  <si>
    <t>Average Age</t>
  </si>
  <si>
    <t>Female</t>
  </si>
  <si>
    <t xml:space="preserve">No of Males </t>
  </si>
  <si>
    <t>No of Females</t>
  </si>
  <si>
    <t>High Spending</t>
  </si>
  <si>
    <t>Customer Id</t>
  </si>
  <si>
    <t xml:space="preserve">No of Customer Annual Income above 50 </t>
  </si>
  <si>
    <t>No of customers are below 30 years old and have a Spending Score above 60</t>
  </si>
  <si>
    <t>Average Spending Score for Males</t>
  </si>
  <si>
    <t>Average Spending Score for Females</t>
  </si>
  <si>
    <t>Top 5 CustomerIDs by Spending Score</t>
  </si>
  <si>
    <t>COUNTA of Spending Category</t>
  </si>
  <si>
    <t>Grand Total</t>
  </si>
  <si>
    <t>High</t>
  </si>
  <si>
    <t>Low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</si>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</sst>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01" sheet="Mall_Customers"/>
  </cacheSource>
  <cacheFields>
    <cacheField name="Customer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</sharedItems>
    </cacheField>
    <cacheField name="Genre" numFmtId="0">
      <sharedItems>
        <s v="Male"/>
        <s v="Female"/>
      </sharedItems>
    </cacheField>
    <cacheField name="Age" numFmtId="0">
      <sharedItems containsSemiMixedTypes="0" containsString="0" containsNumber="1" containsInteger="1">
        <n v="19.0"/>
        <n v="21.0"/>
        <n v="20.0"/>
        <n v="23.0"/>
        <n v="31.0"/>
        <n v="22.0"/>
        <n v="35.0"/>
        <n v="64.0"/>
        <n v="30.0"/>
        <n v="67.0"/>
        <n v="58.0"/>
        <n v="24.0"/>
        <n v="37.0"/>
        <n v="52.0"/>
        <n v="25.0"/>
        <n v="46.0"/>
        <n v="54.0"/>
        <n v="29.0"/>
        <n v="45.0"/>
        <n v="40.0"/>
        <n v="60.0"/>
        <n v="53.0"/>
        <n v="18.0"/>
        <n v="49.0"/>
        <n v="42.0"/>
        <n v="36.0"/>
        <n v="65.0"/>
        <n v="48.0"/>
        <n v="50.0"/>
        <n v="27.0"/>
        <n v="33.0"/>
        <n v="59.0"/>
        <n v="47.0"/>
        <n v="51.0"/>
        <n v="69.0"/>
        <n v="70.0"/>
        <n v="63.0"/>
        <n v="43.0"/>
        <n v="68.0"/>
        <n v="32.0"/>
        <n v="26.0"/>
        <n v="57.0"/>
        <n v="38.0"/>
        <n v="55.0"/>
        <n v="34.0"/>
        <n v="66.0"/>
        <n v="39.0"/>
        <n v="44.0"/>
        <n v="28.0"/>
        <n v="56.0"/>
        <n v="41.0"/>
      </sharedItems>
    </cacheField>
    <cacheField name="Annual_Income_(k$)" numFmtId="0">
      <sharedItems containsSemiMixedTypes="0" containsString="0" containsNumber="1" containsInteger="1">
        <n v="15.0"/>
        <n v="16.0"/>
        <n v="17.0"/>
        <n v="18.0"/>
        <n v="19.0"/>
        <n v="20.0"/>
        <n v="21.0"/>
        <n v="23.0"/>
        <n v="24.0"/>
        <n v="25.0"/>
        <n v="28.0"/>
        <n v="29.0"/>
        <n v="30.0"/>
        <n v="33.0"/>
        <n v="34.0"/>
        <n v="37.0"/>
        <n v="38.0"/>
        <n v="39.0"/>
        <n v="40.0"/>
        <n v="42.0"/>
        <n v="43.0"/>
        <n v="44.0"/>
        <n v="46.0"/>
        <n v="47.0"/>
        <n v="48.0"/>
        <n v="49.0"/>
        <n v="50.0"/>
        <n v="54.0"/>
        <n v="57.0"/>
        <n v="58.0"/>
        <n v="59.0"/>
        <n v="60.0"/>
        <n v="61.0"/>
        <n v="62.0"/>
        <n v="63.0"/>
        <n v="64.0"/>
        <n v="65.0"/>
        <n v="67.0"/>
        <n v="69.0"/>
        <n v="70.0"/>
        <n v="71.0"/>
        <n v="72.0"/>
        <n v="73.0"/>
        <n v="74.0"/>
        <n v="75.0"/>
        <n v="76.0"/>
        <n v="77.0"/>
        <n v="78.0"/>
        <n v="79.0"/>
        <n v="81.0"/>
        <n v="85.0"/>
        <n v="86.0"/>
        <n v="87.0"/>
        <n v="88.0"/>
        <n v="93.0"/>
        <n v="97.0"/>
        <n v="98.0"/>
        <n v="99.0"/>
        <n v="101.0"/>
        <n v="103.0"/>
        <n v="113.0"/>
        <n v="120.0"/>
        <n v="126.0"/>
        <n v="137.0"/>
      </sharedItems>
    </cacheField>
    <cacheField name="Spending_Score" numFmtId="0">
      <sharedItems containsSemiMixedTypes="0" containsString="0" containsNumber="1" containsInteger="1">
        <n v="39.0"/>
        <n v="81.0"/>
        <n v="6.0"/>
        <n v="77.0"/>
        <n v="40.0"/>
        <n v="76.0"/>
        <n v="94.0"/>
        <n v="3.0"/>
        <n v="72.0"/>
        <n v="14.0"/>
        <n v="99.0"/>
        <n v="15.0"/>
        <n v="13.0"/>
        <n v="79.0"/>
        <n v="35.0"/>
        <n v="66.0"/>
        <n v="29.0"/>
        <n v="98.0"/>
        <n v="73.0"/>
        <n v="5.0"/>
        <n v="82.0"/>
        <n v="32.0"/>
        <n v="61.0"/>
        <n v="31.0"/>
        <n v="87.0"/>
        <n v="4.0"/>
        <n v="92.0"/>
        <n v="17.0"/>
        <n v="26.0"/>
        <n v="75.0"/>
        <n v="36.0"/>
        <n v="28.0"/>
        <n v="65.0"/>
        <n v="55.0"/>
        <n v="47.0"/>
        <n v="42.0"/>
        <n v="52.0"/>
        <n v="60.0"/>
        <n v="54.0"/>
        <n v="45.0"/>
        <n v="41.0"/>
        <n v="50.0"/>
        <n v="46.0"/>
        <n v="51.0"/>
        <n v="56.0"/>
        <n v="59.0"/>
        <n v="48.0"/>
        <n v="49.0"/>
        <n v="53.0"/>
        <n v="44.0"/>
        <n v="57.0"/>
        <n v="58.0"/>
        <n v="43.0"/>
        <n v="91.0"/>
        <n v="95.0"/>
        <n v="11.0"/>
        <n v="9.0"/>
        <n v="34.0"/>
        <n v="71.0"/>
        <n v="88.0"/>
        <n v="7.0"/>
        <n v="10.0"/>
        <n v="93.0"/>
        <n v="12.0"/>
        <n v="97.0"/>
        <n v="74.0"/>
        <n v="22.0"/>
        <n v="90.0"/>
        <n v="20.0"/>
        <n v="16.0"/>
        <n v="89.0"/>
        <n v="1.0"/>
        <n v="78.0"/>
        <n v="83.0"/>
        <n v="27.0"/>
        <n v="63.0"/>
        <n v="86.0"/>
        <n v="69.0"/>
        <n v="24.0"/>
        <n v="68.0"/>
        <n v="85.0"/>
        <n v="23.0"/>
        <n v="8.0"/>
        <n v="18.0"/>
      </sharedItems>
    </cacheField>
    <cacheField name=" " numFmtId="0">
      <sharedItems containsString="0" containsBlank="1">
        <m/>
      </sharedItems>
    </cacheField>
    <cacheField name="Income Category" numFmtId="0">
      <sharedItems>
        <s v="Low"/>
        <s v="Medium"/>
        <s v="High"/>
      </sharedItems>
    </cacheField>
    <cacheField name="Spending Category" numFmtId="0">
      <sharedItems>
        <s v="Saver"/>
        <s v="Shopper"/>
      </sharedItems>
    </cacheField>
    <cacheField name=" 2" numFmtId="0">
      <sharedItems containsBlank="1">
        <m/>
        <s v="Average Age"/>
        <s v="No of Males "/>
        <s v="No of Females"/>
        <s v="High Spending"/>
        <s v="Customer Id"/>
        <s v="No of Customer Annual Income above 50 "/>
        <s v="No of customers are below 30 years old and have a Spending Score above 60"/>
        <s v="Average Spending Score for Males"/>
        <s v="Average Spending Score for Females"/>
        <s v="Top 5 CustomerIDs by Spending Score"/>
      </sharedItems>
    </cacheField>
    <cacheField name=" 3" numFmtId="0">
      <sharedItems containsString="0" containsBlank="1" containsNumber="1">
        <m/>
        <n v="38.85"/>
        <n v="88.0"/>
        <n v="112.0"/>
        <n v="99.0"/>
        <n v="12.0"/>
        <n v="126.0"/>
        <n v="24.0"/>
        <n v="48.51136363636363"/>
        <n v="51.52678571428571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6" firstHeaderRow="0" firstDataRow="1" firstDataCol="1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enre" axis="axisCol" compact="0" outline="0" multipleItemSelectionAllowed="1" showAll="0" sortType="ascending">
      <items>
        <item x="1"/>
        <item x="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nnual_Income_(k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Spending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Income Category" axis="axisRow" compact="0" outline="0" multipleItemSelectionAllowed="1" showAll="0" sortType="ascending">
      <items>
        <item x="2"/>
        <item x="0"/>
        <item x="1"/>
        <item t="default"/>
      </items>
    </pivotField>
    <pivotField name="Spending Category" dataField="1" compact="0" outline="0" multipleItemSelectionAllowed="1" showAll="0">
      <items>
        <item x="0"/>
        <item x="1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6"/>
  </rowFields>
  <colFields>
    <field x="1"/>
  </colFields>
  <dataFields>
    <dataField name="COUNTA of Spending Category" fld="7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25"/>
    <col customWidth="1" min="8" max="8" width="24.25"/>
    <col customWidth="1" min="9" max="9" width="6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2" t="s">
        <v>5</v>
      </c>
      <c r="J1" s="2" t="s">
        <v>5</v>
      </c>
    </row>
    <row r="2">
      <c r="A2" s="1">
        <v>1.0</v>
      </c>
      <c r="B2" s="1" t="s">
        <v>8</v>
      </c>
      <c r="C2" s="1">
        <v>19.0</v>
      </c>
      <c r="D2" s="1">
        <v>15.0</v>
      </c>
      <c r="E2" s="1">
        <v>39.0</v>
      </c>
      <c r="G2" s="2" t="str">
        <f t="shared" ref="G2:G201" si="1">IF(D2&lt;40,"Low", IF(D2&lt;=70,"Medium","High"))</f>
        <v>Low</v>
      </c>
      <c r="H2" s="2" t="str">
        <f t="shared" ref="H2:H201" si="2">IF(E2&lt;50,"Saver","Shopper")
</f>
        <v>Saver</v>
      </c>
    </row>
    <row r="3">
      <c r="A3" s="1">
        <v>2.0</v>
      </c>
      <c r="B3" s="1" t="s">
        <v>8</v>
      </c>
      <c r="C3" s="1">
        <v>21.0</v>
      </c>
      <c r="D3" s="1">
        <v>15.0</v>
      </c>
      <c r="E3" s="1">
        <v>81.0</v>
      </c>
      <c r="G3" s="2" t="str">
        <f t="shared" si="1"/>
        <v>Low</v>
      </c>
      <c r="H3" s="2" t="str">
        <f t="shared" si="2"/>
        <v>Shopper</v>
      </c>
      <c r="I3" s="1" t="s">
        <v>9</v>
      </c>
      <c r="J3" s="2">
        <f>AVERAGE(C2:C201)</f>
        <v>38.85</v>
      </c>
    </row>
    <row r="4">
      <c r="A4" s="1">
        <v>3.0</v>
      </c>
      <c r="B4" s="1" t="s">
        <v>10</v>
      </c>
      <c r="C4" s="1">
        <v>20.0</v>
      </c>
      <c r="D4" s="1">
        <v>16.0</v>
      </c>
      <c r="E4" s="1">
        <v>6.0</v>
      </c>
      <c r="G4" s="2" t="str">
        <f t="shared" si="1"/>
        <v>Low</v>
      </c>
      <c r="H4" s="2" t="str">
        <f t="shared" si="2"/>
        <v>Saver</v>
      </c>
    </row>
    <row r="5">
      <c r="A5" s="1">
        <v>4.0</v>
      </c>
      <c r="B5" s="1" t="s">
        <v>10</v>
      </c>
      <c r="C5" s="1">
        <v>23.0</v>
      </c>
      <c r="D5" s="1">
        <v>16.0</v>
      </c>
      <c r="E5" s="1">
        <v>77.0</v>
      </c>
      <c r="G5" s="2" t="str">
        <f t="shared" si="1"/>
        <v>Low</v>
      </c>
      <c r="H5" s="2" t="str">
        <f t="shared" si="2"/>
        <v>Shopper</v>
      </c>
      <c r="I5" s="1" t="s">
        <v>11</v>
      </c>
      <c r="J5" s="2">
        <f>COUNTIF(B2:B201, "Male")</f>
        <v>88</v>
      </c>
    </row>
    <row r="6">
      <c r="A6" s="1">
        <v>5.0</v>
      </c>
      <c r="B6" s="1" t="s">
        <v>10</v>
      </c>
      <c r="C6" s="1">
        <v>31.0</v>
      </c>
      <c r="D6" s="1">
        <v>17.0</v>
      </c>
      <c r="E6" s="1">
        <v>40.0</v>
      </c>
      <c r="G6" s="2" t="str">
        <f t="shared" si="1"/>
        <v>Low</v>
      </c>
      <c r="H6" s="2" t="str">
        <f t="shared" si="2"/>
        <v>Saver</v>
      </c>
    </row>
    <row r="7">
      <c r="A7" s="1">
        <v>6.0</v>
      </c>
      <c r="B7" s="1" t="s">
        <v>10</v>
      </c>
      <c r="C7" s="1">
        <v>22.0</v>
      </c>
      <c r="D7" s="1">
        <v>17.0</v>
      </c>
      <c r="E7" s="1">
        <v>76.0</v>
      </c>
      <c r="G7" s="2" t="str">
        <f t="shared" si="1"/>
        <v>Low</v>
      </c>
      <c r="H7" s="2" t="str">
        <f t="shared" si="2"/>
        <v>Shopper</v>
      </c>
      <c r="I7" s="1" t="s">
        <v>12</v>
      </c>
      <c r="J7" s="2">
        <f>COUNTIF(B2:B201,"Female")</f>
        <v>112</v>
      </c>
    </row>
    <row r="8">
      <c r="A8" s="1">
        <v>7.0</v>
      </c>
      <c r="B8" s="1" t="s">
        <v>10</v>
      </c>
      <c r="C8" s="1">
        <v>35.0</v>
      </c>
      <c r="D8" s="1">
        <v>18.0</v>
      </c>
      <c r="E8" s="1">
        <v>6.0</v>
      </c>
      <c r="G8" s="2" t="str">
        <f t="shared" si="1"/>
        <v>Low</v>
      </c>
      <c r="H8" s="2" t="str">
        <f t="shared" si="2"/>
        <v>Saver</v>
      </c>
    </row>
    <row r="9">
      <c r="A9" s="1">
        <v>8.0</v>
      </c>
      <c r="B9" s="1" t="s">
        <v>10</v>
      </c>
      <c r="C9" s="1">
        <v>23.0</v>
      </c>
      <c r="D9" s="1">
        <v>18.0</v>
      </c>
      <c r="E9" s="1">
        <v>94.0</v>
      </c>
      <c r="G9" s="2" t="str">
        <f t="shared" si="1"/>
        <v>Low</v>
      </c>
      <c r="H9" s="2" t="str">
        <f t="shared" si="2"/>
        <v>Shopper</v>
      </c>
      <c r="I9" s="1" t="s">
        <v>13</v>
      </c>
      <c r="J9" s="2">
        <f>MAX(E2:E200)</f>
        <v>99</v>
      </c>
    </row>
    <row r="10">
      <c r="A10" s="1">
        <v>9.0</v>
      </c>
      <c r="B10" s="1" t="s">
        <v>8</v>
      </c>
      <c r="C10" s="1">
        <v>64.0</v>
      </c>
      <c r="D10" s="1">
        <v>19.0</v>
      </c>
      <c r="E10" s="1">
        <v>3.0</v>
      </c>
      <c r="G10" s="2" t="str">
        <f t="shared" si="1"/>
        <v>Low</v>
      </c>
      <c r="H10" s="2" t="str">
        <f t="shared" si="2"/>
        <v>Saver</v>
      </c>
    </row>
    <row r="11">
      <c r="A11" s="1">
        <v>10.0</v>
      </c>
      <c r="B11" s="1" t="s">
        <v>10</v>
      </c>
      <c r="C11" s="1">
        <v>30.0</v>
      </c>
      <c r="D11" s="1">
        <v>19.0</v>
      </c>
      <c r="E11" s="1">
        <v>72.0</v>
      </c>
      <c r="G11" s="2" t="str">
        <f t="shared" si="1"/>
        <v>Low</v>
      </c>
      <c r="H11" s="2" t="str">
        <f t="shared" si="2"/>
        <v>Shopper</v>
      </c>
      <c r="I11" s="1" t="s">
        <v>14</v>
      </c>
      <c r="J11" s="2">
        <f t="array" ref="J11">INDEX(A2:A1000,MATCH(MAX(E2:E1000),E2:E1000,0))</f>
        <v>12</v>
      </c>
    </row>
    <row r="12">
      <c r="A12" s="1">
        <v>11.0</v>
      </c>
      <c r="B12" s="1" t="s">
        <v>8</v>
      </c>
      <c r="C12" s="1">
        <v>67.0</v>
      </c>
      <c r="D12" s="1">
        <v>19.0</v>
      </c>
      <c r="E12" s="1">
        <v>14.0</v>
      </c>
      <c r="G12" s="2" t="str">
        <f t="shared" si="1"/>
        <v>Low</v>
      </c>
      <c r="H12" s="2" t="str">
        <f t="shared" si="2"/>
        <v>Saver</v>
      </c>
    </row>
    <row r="13">
      <c r="A13" s="1">
        <v>12.0</v>
      </c>
      <c r="B13" s="1" t="s">
        <v>10</v>
      </c>
      <c r="C13" s="1">
        <v>35.0</v>
      </c>
      <c r="D13" s="1">
        <v>19.0</v>
      </c>
      <c r="E13" s="1">
        <v>99.0</v>
      </c>
      <c r="G13" s="2" t="str">
        <f t="shared" si="1"/>
        <v>Low</v>
      </c>
      <c r="H13" s="2" t="str">
        <f t="shared" si="2"/>
        <v>Shopper</v>
      </c>
      <c r="I13" s="1" t="s">
        <v>15</v>
      </c>
      <c r="J13" s="2">
        <f>COUNTIF(D2:D1000, "&gt;50")
</f>
        <v>126</v>
      </c>
    </row>
    <row r="14">
      <c r="A14" s="1">
        <v>13.0</v>
      </c>
      <c r="B14" s="1" t="s">
        <v>10</v>
      </c>
      <c r="C14" s="1">
        <v>58.0</v>
      </c>
      <c r="D14" s="1">
        <v>20.0</v>
      </c>
      <c r="E14" s="1">
        <v>15.0</v>
      </c>
      <c r="G14" s="2" t="str">
        <f t="shared" si="1"/>
        <v>Low</v>
      </c>
      <c r="H14" s="2" t="str">
        <f t="shared" si="2"/>
        <v>Saver</v>
      </c>
    </row>
    <row r="15">
      <c r="A15" s="1">
        <v>14.0</v>
      </c>
      <c r="B15" s="1" t="s">
        <v>10</v>
      </c>
      <c r="C15" s="1">
        <v>24.0</v>
      </c>
      <c r="D15" s="1">
        <v>20.0</v>
      </c>
      <c r="E15" s="1">
        <v>77.0</v>
      </c>
      <c r="G15" s="2" t="str">
        <f t="shared" si="1"/>
        <v>Low</v>
      </c>
      <c r="H15" s="2" t="str">
        <f t="shared" si="2"/>
        <v>Shopper</v>
      </c>
      <c r="I15" s="1" t="s">
        <v>16</v>
      </c>
      <c r="J15" s="2">
        <f>COUNTIFS(C2:C1000, "&lt;30", E2:E1000, "&gt;60")
</f>
        <v>24</v>
      </c>
    </row>
    <row r="16">
      <c r="A16" s="1">
        <v>15.0</v>
      </c>
      <c r="B16" s="1" t="s">
        <v>8</v>
      </c>
      <c r="C16" s="1">
        <v>37.0</v>
      </c>
      <c r="D16" s="1">
        <v>20.0</v>
      </c>
      <c r="E16" s="1">
        <v>13.0</v>
      </c>
      <c r="G16" s="2" t="str">
        <f t="shared" si="1"/>
        <v>Low</v>
      </c>
      <c r="H16" s="2" t="str">
        <f t="shared" si="2"/>
        <v>Saver</v>
      </c>
    </row>
    <row r="17">
      <c r="A17" s="1">
        <v>16.0</v>
      </c>
      <c r="B17" s="1" t="s">
        <v>8</v>
      </c>
      <c r="C17" s="1">
        <v>22.0</v>
      </c>
      <c r="D17" s="1">
        <v>20.0</v>
      </c>
      <c r="E17" s="1">
        <v>79.0</v>
      </c>
      <c r="G17" s="2" t="str">
        <f t="shared" si="1"/>
        <v>Low</v>
      </c>
      <c r="H17" s="2" t="str">
        <f t="shared" si="2"/>
        <v>Shopper</v>
      </c>
      <c r="I17" s="3" t="s">
        <v>17</v>
      </c>
      <c r="J17" s="2">
        <f>AVERAGEIF(B2:B1000, "Male", E2:E1000)
</f>
        <v>48.51136364</v>
      </c>
    </row>
    <row r="18">
      <c r="A18" s="1">
        <v>17.0</v>
      </c>
      <c r="B18" s="1" t="s">
        <v>10</v>
      </c>
      <c r="C18" s="1">
        <v>35.0</v>
      </c>
      <c r="D18" s="1">
        <v>21.0</v>
      </c>
      <c r="E18" s="1">
        <v>35.0</v>
      </c>
      <c r="G18" s="2" t="str">
        <f t="shared" si="1"/>
        <v>Low</v>
      </c>
      <c r="H18" s="2" t="str">
        <f t="shared" si="2"/>
        <v>Saver</v>
      </c>
    </row>
    <row r="19">
      <c r="A19" s="1">
        <v>18.0</v>
      </c>
      <c r="B19" s="1" t="s">
        <v>8</v>
      </c>
      <c r="C19" s="1">
        <v>20.0</v>
      </c>
      <c r="D19" s="1">
        <v>21.0</v>
      </c>
      <c r="E19" s="1">
        <v>66.0</v>
      </c>
      <c r="G19" s="2" t="str">
        <f t="shared" si="1"/>
        <v>Low</v>
      </c>
      <c r="H19" s="2" t="str">
        <f t="shared" si="2"/>
        <v>Shopper</v>
      </c>
      <c r="I19" s="1" t="s">
        <v>18</v>
      </c>
      <c r="J19" s="2">
        <f>AVERAGEIF(B2:B1000, "Female", E2:E1000)
</f>
        <v>51.52678571</v>
      </c>
    </row>
    <row r="20">
      <c r="A20" s="1">
        <v>19.0</v>
      </c>
      <c r="B20" s="1" t="s">
        <v>8</v>
      </c>
      <c r="C20" s="1">
        <v>52.0</v>
      </c>
      <c r="D20" s="1">
        <v>23.0</v>
      </c>
      <c r="E20" s="1">
        <v>29.0</v>
      </c>
      <c r="G20" s="2" t="str">
        <f t="shared" si="1"/>
        <v>Low</v>
      </c>
      <c r="H20" s="2" t="str">
        <f t="shared" si="2"/>
        <v>Saver</v>
      </c>
    </row>
    <row r="21">
      <c r="A21" s="1">
        <v>20.0</v>
      </c>
      <c r="B21" s="1" t="s">
        <v>10</v>
      </c>
      <c r="C21" s="1">
        <v>35.0</v>
      </c>
      <c r="D21" s="1">
        <v>23.0</v>
      </c>
      <c r="E21" s="1">
        <v>98.0</v>
      </c>
      <c r="G21" s="2" t="str">
        <f t="shared" si="1"/>
        <v>Low</v>
      </c>
      <c r="H21" s="2" t="str">
        <f t="shared" si="2"/>
        <v>Shopper</v>
      </c>
      <c r="I21" s="1" t="s">
        <v>19</v>
      </c>
      <c r="J21" s="2">
        <f t="array" ref="J21">INDEX(SORT(A2:E1000, 5, FALSE), SEQUENCE(5,1), 1)
</f>
        <v>12</v>
      </c>
    </row>
    <row r="22">
      <c r="A22" s="1">
        <v>21.0</v>
      </c>
      <c r="B22" s="1" t="s">
        <v>8</v>
      </c>
      <c r="C22" s="1">
        <v>35.0</v>
      </c>
      <c r="D22" s="1">
        <v>24.0</v>
      </c>
      <c r="E22" s="1">
        <v>35.0</v>
      </c>
      <c r="G22" s="2" t="str">
        <f t="shared" si="1"/>
        <v>Low</v>
      </c>
      <c r="H22" s="2" t="str">
        <f t="shared" si="2"/>
        <v>Saver</v>
      </c>
    </row>
    <row r="23">
      <c r="A23" s="1">
        <v>22.0</v>
      </c>
      <c r="B23" s="1" t="s">
        <v>8</v>
      </c>
      <c r="C23" s="1">
        <v>25.0</v>
      </c>
      <c r="D23" s="1">
        <v>24.0</v>
      </c>
      <c r="E23" s="1">
        <v>73.0</v>
      </c>
      <c r="G23" s="2" t="str">
        <f t="shared" si="1"/>
        <v>Low</v>
      </c>
      <c r="H23" s="2" t="str">
        <f t="shared" si="2"/>
        <v>Shopper</v>
      </c>
    </row>
    <row r="24">
      <c r="A24" s="1">
        <v>23.0</v>
      </c>
      <c r="B24" s="1" t="s">
        <v>10</v>
      </c>
      <c r="C24" s="1">
        <v>46.0</v>
      </c>
      <c r="D24" s="1">
        <v>25.0</v>
      </c>
      <c r="E24" s="1">
        <v>5.0</v>
      </c>
      <c r="G24" s="2" t="str">
        <f t="shared" si="1"/>
        <v>Low</v>
      </c>
      <c r="H24" s="2" t="str">
        <f t="shared" si="2"/>
        <v>Saver</v>
      </c>
    </row>
    <row r="25">
      <c r="A25" s="1">
        <v>24.0</v>
      </c>
      <c r="B25" s="1" t="s">
        <v>8</v>
      </c>
      <c r="C25" s="1">
        <v>31.0</v>
      </c>
      <c r="D25" s="1">
        <v>25.0</v>
      </c>
      <c r="E25" s="1">
        <v>73.0</v>
      </c>
      <c r="G25" s="2" t="str">
        <f t="shared" si="1"/>
        <v>Low</v>
      </c>
      <c r="H25" s="2" t="str">
        <f t="shared" si="2"/>
        <v>Shopper</v>
      </c>
    </row>
    <row r="26">
      <c r="A26" s="1">
        <v>25.0</v>
      </c>
      <c r="B26" s="1" t="s">
        <v>10</v>
      </c>
      <c r="C26" s="1">
        <v>54.0</v>
      </c>
      <c r="D26" s="1">
        <v>28.0</v>
      </c>
      <c r="E26" s="1">
        <v>14.0</v>
      </c>
      <c r="G26" s="2" t="str">
        <f t="shared" si="1"/>
        <v>Low</v>
      </c>
      <c r="H26" s="2" t="str">
        <f t="shared" si="2"/>
        <v>Saver</v>
      </c>
    </row>
    <row r="27">
      <c r="A27" s="1">
        <v>26.0</v>
      </c>
      <c r="B27" s="1" t="s">
        <v>8</v>
      </c>
      <c r="C27" s="1">
        <v>29.0</v>
      </c>
      <c r="D27" s="1">
        <v>28.0</v>
      </c>
      <c r="E27" s="1">
        <v>82.0</v>
      </c>
      <c r="G27" s="2" t="str">
        <f t="shared" si="1"/>
        <v>Low</v>
      </c>
      <c r="H27" s="2" t="str">
        <f t="shared" si="2"/>
        <v>Shopper</v>
      </c>
    </row>
    <row r="28">
      <c r="A28" s="1">
        <v>27.0</v>
      </c>
      <c r="B28" s="1" t="s">
        <v>10</v>
      </c>
      <c r="C28" s="1">
        <v>45.0</v>
      </c>
      <c r="D28" s="1">
        <v>28.0</v>
      </c>
      <c r="E28" s="1">
        <v>32.0</v>
      </c>
      <c r="G28" s="2" t="str">
        <f t="shared" si="1"/>
        <v>Low</v>
      </c>
      <c r="H28" s="2" t="str">
        <f t="shared" si="2"/>
        <v>Saver</v>
      </c>
    </row>
    <row r="29">
      <c r="A29" s="1">
        <v>28.0</v>
      </c>
      <c r="B29" s="1" t="s">
        <v>8</v>
      </c>
      <c r="C29" s="1">
        <v>35.0</v>
      </c>
      <c r="D29" s="1">
        <v>28.0</v>
      </c>
      <c r="E29" s="1">
        <v>61.0</v>
      </c>
      <c r="G29" s="2" t="str">
        <f t="shared" si="1"/>
        <v>Low</v>
      </c>
      <c r="H29" s="2" t="str">
        <f t="shared" si="2"/>
        <v>Shopper</v>
      </c>
    </row>
    <row r="30">
      <c r="A30" s="1">
        <v>29.0</v>
      </c>
      <c r="B30" s="1" t="s">
        <v>10</v>
      </c>
      <c r="C30" s="1">
        <v>40.0</v>
      </c>
      <c r="D30" s="1">
        <v>29.0</v>
      </c>
      <c r="E30" s="1">
        <v>31.0</v>
      </c>
      <c r="G30" s="2" t="str">
        <f t="shared" si="1"/>
        <v>Low</v>
      </c>
      <c r="H30" s="2" t="str">
        <f t="shared" si="2"/>
        <v>Saver</v>
      </c>
    </row>
    <row r="31">
      <c r="A31" s="1">
        <v>30.0</v>
      </c>
      <c r="B31" s="1" t="s">
        <v>10</v>
      </c>
      <c r="C31" s="1">
        <v>23.0</v>
      </c>
      <c r="D31" s="1">
        <v>29.0</v>
      </c>
      <c r="E31" s="1">
        <v>87.0</v>
      </c>
      <c r="G31" s="2" t="str">
        <f t="shared" si="1"/>
        <v>Low</v>
      </c>
      <c r="H31" s="2" t="str">
        <f t="shared" si="2"/>
        <v>Shopper</v>
      </c>
    </row>
    <row r="32">
      <c r="A32" s="1">
        <v>31.0</v>
      </c>
      <c r="B32" s="1" t="s">
        <v>8</v>
      </c>
      <c r="C32" s="1">
        <v>60.0</v>
      </c>
      <c r="D32" s="1">
        <v>30.0</v>
      </c>
      <c r="E32" s="1">
        <v>4.0</v>
      </c>
      <c r="G32" s="2" t="str">
        <f t="shared" si="1"/>
        <v>Low</v>
      </c>
      <c r="H32" s="2" t="str">
        <f t="shared" si="2"/>
        <v>Saver</v>
      </c>
    </row>
    <row r="33">
      <c r="A33" s="1">
        <v>32.0</v>
      </c>
      <c r="B33" s="1" t="s">
        <v>10</v>
      </c>
      <c r="C33" s="1">
        <v>21.0</v>
      </c>
      <c r="D33" s="1">
        <v>30.0</v>
      </c>
      <c r="E33" s="1">
        <v>73.0</v>
      </c>
      <c r="G33" s="2" t="str">
        <f t="shared" si="1"/>
        <v>Low</v>
      </c>
      <c r="H33" s="2" t="str">
        <f t="shared" si="2"/>
        <v>Shopper</v>
      </c>
    </row>
    <row r="34">
      <c r="A34" s="1">
        <v>33.0</v>
      </c>
      <c r="B34" s="1" t="s">
        <v>8</v>
      </c>
      <c r="C34" s="1">
        <v>53.0</v>
      </c>
      <c r="D34" s="1">
        <v>33.0</v>
      </c>
      <c r="E34" s="1">
        <v>4.0</v>
      </c>
      <c r="G34" s="2" t="str">
        <f t="shared" si="1"/>
        <v>Low</v>
      </c>
      <c r="H34" s="2" t="str">
        <f t="shared" si="2"/>
        <v>Saver</v>
      </c>
    </row>
    <row r="35">
      <c r="A35" s="1">
        <v>34.0</v>
      </c>
      <c r="B35" s="1" t="s">
        <v>8</v>
      </c>
      <c r="C35" s="1">
        <v>18.0</v>
      </c>
      <c r="D35" s="1">
        <v>33.0</v>
      </c>
      <c r="E35" s="1">
        <v>92.0</v>
      </c>
      <c r="G35" s="2" t="str">
        <f t="shared" si="1"/>
        <v>Low</v>
      </c>
      <c r="H35" s="2" t="str">
        <f t="shared" si="2"/>
        <v>Shopper</v>
      </c>
    </row>
    <row r="36">
      <c r="A36" s="1">
        <v>35.0</v>
      </c>
      <c r="B36" s="1" t="s">
        <v>10</v>
      </c>
      <c r="C36" s="1">
        <v>49.0</v>
      </c>
      <c r="D36" s="1">
        <v>33.0</v>
      </c>
      <c r="E36" s="1">
        <v>14.0</v>
      </c>
      <c r="G36" s="2" t="str">
        <f t="shared" si="1"/>
        <v>Low</v>
      </c>
      <c r="H36" s="2" t="str">
        <f t="shared" si="2"/>
        <v>Saver</v>
      </c>
    </row>
    <row r="37">
      <c r="A37" s="1">
        <v>36.0</v>
      </c>
      <c r="B37" s="1" t="s">
        <v>10</v>
      </c>
      <c r="C37" s="1">
        <v>21.0</v>
      </c>
      <c r="D37" s="1">
        <v>33.0</v>
      </c>
      <c r="E37" s="1">
        <v>81.0</v>
      </c>
      <c r="G37" s="2" t="str">
        <f t="shared" si="1"/>
        <v>Low</v>
      </c>
      <c r="H37" s="2" t="str">
        <f t="shared" si="2"/>
        <v>Shopper</v>
      </c>
    </row>
    <row r="38">
      <c r="A38" s="1">
        <v>37.0</v>
      </c>
      <c r="B38" s="1" t="s">
        <v>10</v>
      </c>
      <c r="C38" s="1">
        <v>42.0</v>
      </c>
      <c r="D38" s="1">
        <v>34.0</v>
      </c>
      <c r="E38" s="1">
        <v>17.0</v>
      </c>
      <c r="G38" s="2" t="str">
        <f t="shared" si="1"/>
        <v>Low</v>
      </c>
      <c r="H38" s="2" t="str">
        <f t="shared" si="2"/>
        <v>Saver</v>
      </c>
    </row>
    <row r="39">
      <c r="A39" s="1">
        <v>38.0</v>
      </c>
      <c r="B39" s="1" t="s">
        <v>10</v>
      </c>
      <c r="C39" s="1">
        <v>30.0</v>
      </c>
      <c r="D39" s="1">
        <v>34.0</v>
      </c>
      <c r="E39" s="1">
        <v>73.0</v>
      </c>
      <c r="G39" s="2" t="str">
        <f t="shared" si="1"/>
        <v>Low</v>
      </c>
      <c r="H39" s="2" t="str">
        <f t="shared" si="2"/>
        <v>Shopper</v>
      </c>
    </row>
    <row r="40">
      <c r="A40" s="1">
        <v>39.0</v>
      </c>
      <c r="B40" s="1" t="s">
        <v>10</v>
      </c>
      <c r="C40" s="1">
        <v>36.0</v>
      </c>
      <c r="D40" s="1">
        <v>37.0</v>
      </c>
      <c r="E40" s="1">
        <v>26.0</v>
      </c>
      <c r="G40" s="2" t="str">
        <f t="shared" si="1"/>
        <v>Low</v>
      </c>
      <c r="H40" s="2" t="str">
        <f t="shared" si="2"/>
        <v>Saver</v>
      </c>
    </row>
    <row r="41">
      <c r="A41" s="1">
        <v>40.0</v>
      </c>
      <c r="B41" s="1" t="s">
        <v>10</v>
      </c>
      <c r="C41" s="1">
        <v>20.0</v>
      </c>
      <c r="D41" s="1">
        <v>37.0</v>
      </c>
      <c r="E41" s="1">
        <v>75.0</v>
      </c>
      <c r="G41" s="2" t="str">
        <f t="shared" si="1"/>
        <v>Low</v>
      </c>
      <c r="H41" s="2" t="str">
        <f t="shared" si="2"/>
        <v>Shopper</v>
      </c>
    </row>
    <row r="42">
      <c r="A42" s="1">
        <v>41.0</v>
      </c>
      <c r="B42" s="1" t="s">
        <v>10</v>
      </c>
      <c r="C42" s="1">
        <v>65.0</v>
      </c>
      <c r="D42" s="1">
        <v>38.0</v>
      </c>
      <c r="E42" s="1">
        <v>35.0</v>
      </c>
      <c r="G42" s="2" t="str">
        <f t="shared" si="1"/>
        <v>Low</v>
      </c>
      <c r="H42" s="2" t="str">
        <f t="shared" si="2"/>
        <v>Saver</v>
      </c>
    </row>
    <row r="43">
      <c r="A43" s="1">
        <v>42.0</v>
      </c>
      <c r="B43" s="1" t="s">
        <v>8</v>
      </c>
      <c r="C43" s="1">
        <v>24.0</v>
      </c>
      <c r="D43" s="1">
        <v>38.0</v>
      </c>
      <c r="E43" s="1">
        <v>92.0</v>
      </c>
      <c r="G43" s="2" t="str">
        <f t="shared" si="1"/>
        <v>Low</v>
      </c>
      <c r="H43" s="2" t="str">
        <f t="shared" si="2"/>
        <v>Shopper</v>
      </c>
    </row>
    <row r="44">
      <c r="A44" s="1">
        <v>43.0</v>
      </c>
      <c r="B44" s="1" t="s">
        <v>8</v>
      </c>
      <c r="C44" s="1">
        <v>48.0</v>
      </c>
      <c r="D44" s="1">
        <v>39.0</v>
      </c>
      <c r="E44" s="1">
        <v>36.0</v>
      </c>
      <c r="G44" s="2" t="str">
        <f t="shared" si="1"/>
        <v>Low</v>
      </c>
      <c r="H44" s="2" t="str">
        <f t="shared" si="2"/>
        <v>Saver</v>
      </c>
    </row>
    <row r="45">
      <c r="A45" s="1">
        <v>44.0</v>
      </c>
      <c r="B45" s="1" t="s">
        <v>10</v>
      </c>
      <c r="C45" s="1">
        <v>31.0</v>
      </c>
      <c r="D45" s="1">
        <v>39.0</v>
      </c>
      <c r="E45" s="1">
        <v>61.0</v>
      </c>
      <c r="G45" s="2" t="str">
        <f t="shared" si="1"/>
        <v>Low</v>
      </c>
      <c r="H45" s="2" t="str">
        <f t="shared" si="2"/>
        <v>Shopper</v>
      </c>
    </row>
    <row r="46">
      <c r="A46" s="1">
        <v>45.0</v>
      </c>
      <c r="B46" s="1" t="s">
        <v>10</v>
      </c>
      <c r="C46" s="1">
        <v>49.0</v>
      </c>
      <c r="D46" s="1">
        <v>39.0</v>
      </c>
      <c r="E46" s="1">
        <v>28.0</v>
      </c>
      <c r="G46" s="2" t="str">
        <f t="shared" si="1"/>
        <v>Low</v>
      </c>
      <c r="H46" s="2" t="str">
        <f t="shared" si="2"/>
        <v>Saver</v>
      </c>
    </row>
    <row r="47">
      <c r="A47" s="1">
        <v>46.0</v>
      </c>
      <c r="B47" s="1" t="s">
        <v>10</v>
      </c>
      <c r="C47" s="1">
        <v>24.0</v>
      </c>
      <c r="D47" s="1">
        <v>39.0</v>
      </c>
      <c r="E47" s="1">
        <v>65.0</v>
      </c>
      <c r="G47" s="2" t="str">
        <f t="shared" si="1"/>
        <v>Low</v>
      </c>
      <c r="H47" s="2" t="str">
        <f t="shared" si="2"/>
        <v>Shopper</v>
      </c>
    </row>
    <row r="48">
      <c r="A48" s="1">
        <v>47.0</v>
      </c>
      <c r="B48" s="1" t="s">
        <v>10</v>
      </c>
      <c r="C48" s="1">
        <v>50.0</v>
      </c>
      <c r="D48" s="1">
        <v>40.0</v>
      </c>
      <c r="E48" s="1">
        <v>55.0</v>
      </c>
      <c r="G48" s="2" t="str">
        <f t="shared" si="1"/>
        <v>Medium</v>
      </c>
      <c r="H48" s="2" t="str">
        <f t="shared" si="2"/>
        <v>Shopper</v>
      </c>
    </row>
    <row r="49">
      <c r="A49" s="1">
        <v>48.0</v>
      </c>
      <c r="B49" s="1" t="s">
        <v>10</v>
      </c>
      <c r="C49" s="1">
        <v>27.0</v>
      </c>
      <c r="D49" s="1">
        <v>40.0</v>
      </c>
      <c r="E49" s="1">
        <v>47.0</v>
      </c>
      <c r="G49" s="2" t="str">
        <f t="shared" si="1"/>
        <v>Medium</v>
      </c>
      <c r="H49" s="2" t="str">
        <f t="shared" si="2"/>
        <v>Saver</v>
      </c>
    </row>
    <row r="50">
      <c r="A50" s="1">
        <v>49.0</v>
      </c>
      <c r="B50" s="1" t="s">
        <v>10</v>
      </c>
      <c r="C50" s="1">
        <v>29.0</v>
      </c>
      <c r="D50" s="1">
        <v>40.0</v>
      </c>
      <c r="E50" s="1">
        <v>42.0</v>
      </c>
      <c r="G50" s="2" t="str">
        <f t="shared" si="1"/>
        <v>Medium</v>
      </c>
      <c r="H50" s="2" t="str">
        <f t="shared" si="2"/>
        <v>Saver</v>
      </c>
    </row>
    <row r="51">
      <c r="A51" s="1">
        <v>50.0</v>
      </c>
      <c r="B51" s="1" t="s">
        <v>10</v>
      </c>
      <c r="C51" s="1">
        <v>31.0</v>
      </c>
      <c r="D51" s="1">
        <v>40.0</v>
      </c>
      <c r="E51" s="1">
        <v>42.0</v>
      </c>
      <c r="G51" s="2" t="str">
        <f t="shared" si="1"/>
        <v>Medium</v>
      </c>
      <c r="H51" s="2" t="str">
        <f t="shared" si="2"/>
        <v>Saver</v>
      </c>
    </row>
    <row r="52">
      <c r="A52" s="1">
        <v>51.0</v>
      </c>
      <c r="B52" s="1" t="s">
        <v>10</v>
      </c>
      <c r="C52" s="1">
        <v>49.0</v>
      </c>
      <c r="D52" s="1">
        <v>42.0</v>
      </c>
      <c r="E52" s="1">
        <v>52.0</v>
      </c>
      <c r="G52" s="2" t="str">
        <f t="shared" si="1"/>
        <v>Medium</v>
      </c>
      <c r="H52" s="2" t="str">
        <f t="shared" si="2"/>
        <v>Shopper</v>
      </c>
    </row>
    <row r="53">
      <c r="A53" s="1">
        <v>52.0</v>
      </c>
      <c r="B53" s="1" t="s">
        <v>8</v>
      </c>
      <c r="C53" s="1">
        <v>33.0</v>
      </c>
      <c r="D53" s="1">
        <v>42.0</v>
      </c>
      <c r="E53" s="1">
        <v>60.0</v>
      </c>
      <c r="G53" s="2" t="str">
        <f t="shared" si="1"/>
        <v>Medium</v>
      </c>
      <c r="H53" s="2" t="str">
        <f t="shared" si="2"/>
        <v>Shopper</v>
      </c>
    </row>
    <row r="54">
      <c r="A54" s="1">
        <v>53.0</v>
      </c>
      <c r="B54" s="1" t="s">
        <v>10</v>
      </c>
      <c r="C54" s="1">
        <v>31.0</v>
      </c>
      <c r="D54" s="1">
        <v>43.0</v>
      </c>
      <c r="E54" s="1">
        <v>54.0</v>
      </c>
      <c r="G54" s="2" t="str">
        <f t="shared" si="1"/>
        <v>Medium</v>
      </c>
      <c r="H54" s="2" t="str">
        <f t="shared" si="2"/>
        <v>Shopper</v>
      </c>
    </row>
    <row r="55">
      <c r="A55" s="1">
        <v>54.0</v>
      </c>
      <c r="B55" s="1" t="s">
        <v>8</v>
      </c>
      <c r="C55" s="1">
        <v>59.0</v>
      </c>
      <c r="D55" s="1">
        <v>43.0</v>
      </c>
      <c r="E55" s="1">
        <v>60.0</v>
      </c>
      <c r="G55" s="2" t="str">
        <f t="shared" si="1"/>
        <v>Medium</v>
      </c>
      <c r="H55" s="2" t="str">
        <f t="shared" si="2"/>
        <v>Shopper</v>
      </c>
    </row>
    <row r="56">
      <c r="A56" s="1">
        <v>55.0</v>
      </c>
      <c r="B56" s="1" t="s">
        <v>10</v>
      </c>
      <c r="C56" s="1">
        <v>50.0</v>
      </c>
      <c r="D56" s="1">
        <v>43.0</v>
      </c>
      <c r="E56" s="1">
        <v>45.0</v>
      </c>
      <c r="G56" s="2" t="str">
        <f t="shared" si="1"/>
        <v>Medium</v>
      </c>
      <c r="H56" s="2" t="str">
        <f t="shared" si="2"/>
        <v>Saver</v>
      </c>
    </row>
    <row r="57">
      <c r="A57" s="1">
        <v>56.0</v>
      </c>
      <c r="B57" s="1" t="s">
        <v>8</v>
      </c>
      <c r="C57" s="1">
        <v>47.0</v>
      </c>
      <c r="D57" s="1">
        <v>43.0</v>
      </c>
      <c r="E57" s="1">
        <v>41.0</v>
      </c>
      <c r="G57" s="2" t="str">
        <f t="shared" si="1"/>
        <v>Medium</v>
      </c>
      <c r="H57" s="2" t="str">
        <f t="shared" si="2"/>
        <v>Saver</v>
      </c>
    </row>
    <row r="58">
      <c r="A58" s="1">
        <v>57.0</v>
      </c>
      <c r="B58" s="1" t="s">
        <v>10</v>
      </c>
      <c r="C58" s="1">
        <v>51.0</v>
      </c>
      <c r="D58" s="1">
        <v>44.0</v>
      </c>
      <c r="E58" s="1">
        <v>50.0</v>
      </c>
      <c r="G58" s="2" t="str">
        <f t="shared" si="1"/>
        <v>Medium</v>
      </c>
      <c r="H58" s="2" t="str">
        <f t="shared" si="2"/>
        <v>Shopper</v>
      </c>
    </row>
    <row r="59">
      <c r="A59" s="1">
        <v>58.0</v>
      </c>
      <c r="B59" s="1" t="s">
        <v>8</v>
      </c>
      <c r="C59" s="1">
        <v>69.0</v>
      </c>
      <c r="D59" s="1">
        <v>44.0</v>
      </c>
      <c r="E59" s="1">
        <v>46.0</v>
      </c>
      <c r="G59" s="2" t="str">
        <f t="shared" si="1"/>
        <v>Medium</v>
      </c>
      <c r="H59" s="2" t="str">
        <f t="shared" si="2"/>
        <v>Saver</v>
      </c>
    </row>
    <row r="60">
      <c r="A60" s="1">
        <v>59.0</v>
      </c>
      <c r="B60" s="1" t="s">
        <v>10</v>
      </c>
      <c r="C60" s="1">
        <v>27.0</v>
      </c>
      <c r="D60" s="1">
        <v>46.0</v>
      </c>
      <c r="E60" s="1">
        <v>51.0</v>
      </c>
      <c r="G60" s="2" t="str">
        <f t="shared" si="1"/>
        <v>Medium</v>
      </c>
      <c r="H60" s="2" t="str">
        <f t="shared" si="2"/>
        <v>Shopper</v>
      </c>
    </row>
    <row r="61">
      <c r="A61" s="1">
        <v>60.0</v>
      </c>
      <c r="B61" s="1" t="s">
        <v>8</v>
      </c>
      <c r="C61" s="1">
        <v>53.0</v>
      </c>
      <c r="D61" s="1">
        <v>46.0</v>
      </c>
      <c r="E61" s="1">
        <v>46.0</v>
      </c>
      <c r="G61" s="2" t="str">
        <f t="shared" si="1"/>
        <v>Medium</v>
      </c>
      <c r="H61" s="2" t="str">
        <f t="shared" si="2"/>
        <v>Saver</v>
      </c>
    </row>
    <row r="62">
      <c r="A62" s="1">
        <v>61.0</v>
      </c>
      <c r="B62" s="1" t="s">
        <v>8</v>
      </c>
      <c r="C62" s="1">
        <v>70.0</v>
      </c>
      <c r="D62" s="1">
        <v>46.0</v>
      </c>
      <c r="E62" s="1">
        <v>56.0</v>
      </c>
      <c r="G62" s="2" t="str">
        <f t="shared" si="1"/>
        <v>Medium</v>
      </c>
      <c r="H62" s="2" t="str">
        <f t="shared" si="2"/>
        <v>Shopper</v>
      </c>
    </row>
    <row r="63">
      <c r="A63" s="1">
        <v>62.0</v>
      </c>
      <c r="B63" s="1" t="s">
        <v>8</v>
      </c>
      <c r="C63" s="1">
        <v>19.0</v>
      </c>
      <c r="D63" s="1">
        <v>46.0</v>
      </c>
      <c r="E63" s="1">
        <v>55.0</v>
      </c>
      <c r="G63" s="2" t="str">
        <f t="shared" si="1"/>
        <v>Medium</v>
      </c>
      <c r="H63" s="2" t="str">
        <f t="shared" si="2"/>
        <v>Shopper</v>
      </c>
    </row>
    <row r="64">
      <c r="A64" s="1">
        <v>63.0</v>
      </c>
      <c r="B64" s="1" t="s">
        <v>10</v>
      </c>
      <c r="C64" s="1">
        <v>67.0</v>
      </c>
      <c r="D64" s="1">
        <v>47.0</v>
      </c>
      <c r="E64" s="1">
        <v>52.0</v>
      </c>
      <c r="G64" s="2" t="str">
        <f t="shared" si="1"/>
        <v>Medium</v>
      </c>
      <c r="H64" s="2" t="str">
        <f t="shared" si="2"/>
        <v>Shopper</v>
      </c>
    </row>
    <row r="65">
      <c r="A65" s="1">
        <v>64.0</v>
      </c>
      <c r="B65" s="1" t="s">
        <v>10</v>
      </c>
      <c r="C65" s="1">
        <v>54.0</v>
      </c>
      <c r="D65" s="1">
        <v>47.0</v>
      </c>
      <c r="E65" s="1">
        <v>59.0</v>
      </c>
      <c r="G65" s="2" t="str">
        <f t="shared" si="1"/>
        <v>Medium</v>
      </c>
      <c r="H65" s="2" t="str">
        <f t="shared" si="2"/>
        <v>Shopper</v>
      </c>
    </row>
    <row r="66">
      <c r="A66" s="1">
        <v>65.0</v>
      </c>
      <c r="B66" s="1" t="s">
        <v>8</v>
      </c>
      <c r="C66" s="1">
        <v>63.0</v>
      </c>
      <c r="D66" s="1">
        <v>48.0</v>
      </c>
      <c r="E66" s="1">
        <v>51.0</v>
      </c>
      <c r="G66" s="2" t="str">
        <f t="shared" si="1"/>
        <v>Medium</v>
      </c>
      <c r="H66" s="2" t="str">
        <f t="shared" si="2"/>
        <v>Shopper</v>
      </c>
    </row>
    <row r="67">
      <c r="A67" s="1">
        <v>66.0</v>
      </c>
      <c r="B67" s="1" t="s">
        <v>8</v>
      </c>
      <c r="C67" s="1">
        <v>18.0</v>
      </c>
      <c r="D67" s="1">
        <v>48.0</v>
      </c>
      <c r="E67" s="1">
        <v>59.0</v>
      </c>
      <c r="G67" s="2" t="str">
        <f t="shared" si="1"/>
        <v>Medium</v>
      </c>
      <c r="H67" s="2" t="str">
        <f t="shared" si="2"/>
        <v>Shopper</v>
      </c>
    </row>
    <row r="68">
      <c r="A68" s="1">
        <v>67.0</v>
      </c>
      <c r="B68" s="1" t="s">
        <v>10</v>
      </c>
      <c r="C68" s="1">
        <v>43.0</v>
      </c>
      <c r="D68" s="1">
        <v>48.0</v>
      </c>
      <c r="E68" s="1">
        <v>50.0</v>
      </c>
      <c r="G68" s="2" t="str">
        <f t="shared" si="1"/>
        <v>Medium</v>
      </c>
      <c r="H68" s="2" t="str">
        <f t="shared" si="2"/>
        <v>Shopper</v>
      </c>
    </row>
    <row r="69">
      <c r="A69" s="1">
        <v>68.0</v>
      </c>
      <c r="B69" s="1" t="s">
        <v>10</v>
      </c>
      <c r="C69" s="1">
        <v>68.0</v>
      </c>
      <c r="D69" s="1">
        <v>48.0</v>
      </c>
      <c r="E69" s="1">
        <v>48.0</v>
      </c>
      <c r="G69" s="2" t="str">
        <f t="shared" si="1"/>
        <v>Medium</v>
      </c>
      <c r="H69" s="2" t="str">
        <f t="shared" si="2"/>
        <v>Saver</v>
      </c>
    </row>
    <row r="70">
      <c r="A70" s="1">
        <v>69.0</v>
      </c>
      <c r="B70" s="1" t="s">
        <v>8</v>
      </c>
      <c r="C70" s="1">
        <v>19.0</v>
      </c>
      <c r="D70" s="1">
        <v>48.0</v>
      </c>
      <c r="E70" s="1">
        <v>59.0</v>
      </c>
      <c r="G70" s="2" t="str">
        <f t="shared" si="1"/>
        <v>Medium</v>
      </c>
      <c r="H70" s="2" t="str">
        <f t="shared" si="2"/>
        <v>Shopper</v>
      </c>
    </row>
    <row r="71">
      <c r="A71" s="1">
        <v>70.0</v>
      </c>
      <c r="B71" s="1" t="s">
        <v>10</v>
      </c>
      <c r="C71" s="1">
        <v>32.0</v>
      </c>
      <c r="D71" s="1">
        <v>48.0</v>
      </c>
      <c r="E71" s="1">
        <v>47.0</v>
      </c>
      <c r="G71" s="2" t="str">
        <f t="shared" si="1"/>
        <v>Medium</v>
      </c>
      <c r="H71" s="2" t="str">
        <f t="shared" si="2"/>
        <v>Saver</v>
      </c>
    </row>
    <row r="72">
      <c r="A72" s="1">
        <v>71.0</v>
      </c>
      <c r="B72" s="1" t="s">
        <v>8</v>
      </c>
      <c r="C72" s="1">
        <v>70.0</v>
      </c>
      <c r="D72" s="1">
        <v>49.0</v>
      </c>
      <c r="E72" s="1">
        <v>55.0</v>
      </c>
      <c r="G72" s="2" t="str">
        <f t="shared" si="1"/>
        <v>Medium</v>
      </c>
      <c r="H72" s="2" t="str">
        <f t="shared" si="2"/>
        <v>Shopper</v>
      </c>
    </row>
    <row r="73">
      <c r="A73" s="1">
        <v>72.0</v>
      </c>
      <c r="B73" s="1" t="s">
        <v>10</v>
      </c>
      <c r="C73" s="1">
        <v>47.0</v>
      </c>
      <c r="D73" s="1">
        <v>49.0</v>
      </c>
      <c r="E73" s="1">
        <v>42.0</v>
      </c>
      <c r="G73" s="2" t="str">
        <f t="shared" si="1"/>
        <v>Medium</v>
      </c>
      <c r="H73" s="2" t="str">
        <f t="shared" si="2"/>
        <v>Saver</v>
      </c>
    </row>
    <row r="74">
      <c r="A74" s="1">
        <v>73.0</v>
      </c>
      <c r="B74" s="1" t="s">
        <v>10</v>
      </c>
      <c r="C74" s="1">
        <v>60.0</v>
      </c>
      <c r="D74" s="1">
        <v>50.0</v>
      </c>
      <c r="E74" s="1">
        <v>49.0</v>
      </c>
      <c r="G74" s="2" t="str">
        <f t="shared" si="1"/>
        <v>Medium</v>
      </c>
      <c r="H74" s="2" t="str">
        <f t="shared" si="2"/>
        <v>Saver</v>
      </c>
    </row>
    <row r="75">
      <c r="A75" s="1">
        <v>74.0</v>
      </c>
      <c r="B75" s="1" t="s">
        <v>10</v>
      </c>
      <c r="C75" s="1">
        <v>60.0</v>
      </c>
      <c r="D75" s="1">
        <v>50.0</v>
      </c>
      <c r="E75" s="1">
        <v>56.0</v>
      </c>
      <c r="G75" s="2" t="str">
        <f t="shared" si="1"/>
        <v>Medium</v>
      </c>
      <c r="H75" s="2" t="str">
        <f t="shared" si="2"/>
        <v>Shopper</v>
      </c>
    </row>
    <row r="76">
      <c r="A76" s="1">
        <v>75.0</v>
      </c>
      <c r="B76" s="1" t="s">
        <v>8</v>
      </c>
      <c r="C76" s="1">
        <v>59.0</v>
      </c>
      <c r="D76" s="1">
        <v>54.0</v>
      </c>
      <c r="E76" s="1">
        <v>47.0</v>
      </c>
      <c r="G76" s="2" t="str">
        <f t="shared" si="1"/>
        <v>Medium</v>
      </c>
      <c r="H76" s="2" t="str">
        <f t="shared" si="2"/>
        <v>Saver</v>
      </c>
    </row>
    <row r="77">
      <c r="A77" s="1">
        <v>76.0</v>
      </c>
      <c r="B77" s="1" t="s">
        <v>8</v>
      </c>
      <c r="C77" s="1">
        <v>26.0</v>
      </c>
      <c r="D77" s="1">
        <v>54.0</v>
      </c>
      <c r="E77" s="1">
        <v>54.0</v>
      </c>
      <c r="G77" s="2" t="str">
        <f t="shared" si="1"/>
        <v>Medium</v>
      </c>
      <c r="H77" s="2" t="str">
        <f t="shared" si="2"/>
        <v>Shopper</v>
      </c>
    </row>
    <row r="78">
      <c r="A78" s="1">
        <v>77.0</v>
      </c>
      <c r="B78" s="1" t="s">
        <v>10</v>
      </c>
      <c r="C78" s="1">
        <v>45.0</v>
      </c>
      <c r="D78" s="1">
        <v>54.0</v>
      </c>
      <c r="E78" s="1">
        <v>53.0</v>
      </c>
      <c r="G78" s="2" t="str">
        <f t="shared" si="1"/>
        <v>Medium</v>
      </c>
      <c r="H78" s="2" t="str">
        <f t="shared" si="2"/>
        <v>Shopper</v>
      </c>
    </row>
    <row r="79">
      <c r="A79" s="1">
        <v>78.0</v>
      </c>
      <c r="B79" s="1" t="s">
        <v>8</v>
      </c>
      <c r="C79" s="1">
        <v>40.0</v>
      </c>
      <c r="D79" s="1">
        <v>54.0</v>
      </c>
      <c r="E79" s="1">
        <v>48.0</v>
      </c>
      <c r="G79" s="2" t="str">
        <f t="shared" si="1"/>
        <v>Medium</v>
      </c>
      <c r="H79" s="2" t="str">
        <f t="shared" si="2"/>
        <v>Saver</v>
      </c>
    </row>
    <row r="80">
      <c r="A80" s="1">
        <v>79.0</v>
      </c>
      <c r="B80" s="1" t="s">
        <v>10</v>
      </c>
      <c r="C80" s="1">
        <v>23.0</v>
      </c>
      <c r="D80" s="1">
        <v>54.0</v>
      </c>
      <c r="E80" s="1">
        <v>52.0</v>
      </c>
      <c r="G80" s="2" t="str">
        <f t="shared" si="1"/>
        <v>Medium</v>
      </c>
      <c r="H80" s="2" t="str">
        <f t="shared" si="2"/>
        <v>Shopper</v>
      </c>
    </row>
    <row r="81">
      <c r="A81" s="1">
        <v>80.0</v>
      </c>
      <c r="B81" s="1" t="s">
        <v>10</v>
      </c>
      <c r="C81" s="1">
        <v>49.0</v>
      </c>
      <c r="D81" s="1">
        <v>54.0</v>
      </c>
      <c r="E81" s="1">
        <v>42.0</v>
      </c>
      <c r="G81" s="2" t="str">
        <f t="shared" si="1"/>
        <v>Medium</v>
      </c>
      <c r="H81" s="2" t="str">
        <f t="shared" si="2"/>
        <v>Saver</v>
      </c>
    </row>
    <row r="82">
      <c r="A82" s="1">
        <v>81.0</v>
      </c>
      <c r="B82" s="1" t="s">
        <v>8</v>
      </c>
      <c r="C82" s="1">
        <v>57.0</v>
      </c>
      <c r="D82" s="1">
        <v>54.0</v>
      </c>
      <c r="E82" s="1">
        <v>51.0</v>
      </c>
      <c r="G82" s="2" t="str">
        <f t="shared" si="1"/>
        <v>Medium</v>
      </c>
      <c r="H82" s="2" t="str">
        <f t="shared" si="2"/>
        <v>Shopper</v>
      </c>
    </row>
    <row r="83">
      <c r="A83" s="1">
        <v>82.0</v>
      </c>
      <c r="B83" s="1" t="s">
        <v>8</v>
      </c>
      <c r="C83" s="1">
        <v>38.0</v>
      </c>
      <c r="D83" s="1">
        <v>54.0</v>
      </c>
      <c r="E83" s="1">
        <v>55.0</v>
      </c>
      <c r="G83" s="2" t="str">
        <f t="shared" si="1"/>
        <v>Medium</v>
      </c>
      <c r="H83" s="2" t="str">
        <f t="shared" si="2"/>
        <v>Shopper</v>
      </c>
    </row>
    <row r="84">
      <c r="A84" s="1">
        <v>83.0</v>
      </c>
      <c r="B84" s="1" t="s">
        <v>8</v>
      </c>
      <c r="C84" s="1">
        <v>67.0</v>
      </c>
      <c r="D84" s="1">
        <v>54.0</v>
      </c>
      <c r="E84" s="1">
        <v>41.0</v>
      </c>
      <c r="G84" s="2" t="str">
        <f t="shared" si="1"/>
        <v>Medium</v>
      </c>
      <c r="H84" s="2" t="str">
        <f t="shared" si="2"/>
        <v>Saver</v>
      </c>
    </row>
    <row r="85">
      <c r="A85" s="1">
        <v>84.0</v>
      </c>
      <c r="B85" s="1" t="s">
        <v>10</v>
      </c>
      <c r="C85" s="1">
        <v>46.0</v>
      </c>
      <c r="D85" s="1">
        <v>54.0</v>
      </c>
      <c r="E85" s="1">
        <v>44.0</v>
      </c>
      <c r="G85" s="2" t="str">
        <f t="shared" si="1"/>
        <v>Medium</v>
      </c>
      <c r="H85" s="2" t="str">
        <f t="shared" si="2"/>
        <v>Saver</v>
      </c>
    </row>
    <row r="86">
      <c r="A86" s="1">
        <v>85.0</v>
      </c>
      <c r="B86" s="1" t="s">
        <v>10</v>
      </c>
      <c r="C86" s="1">
        <v>21.0</v>
      </c>
      <c r="D86" s="1">
        <v>54.0</v>
      </c>
      <c r="E86" s="1">
        <v>57.0</v>
      </c>
      <c r="G86" s="2" t="str">
        <f t="shared" si="1"/>
        <v>Medium</v>
      </c>
      <c r="H86" s="2" t="str">
        <f t="shared" si="2"/>
        <v>Shopper</v>
      </c>
    </row>
    <row r="87">
      <c r="A87" s="1">
        <v>86.0</v>
      </c>
      <c r="B87" s="1" t="s">
        <v>8</v>
      </c>
      <c r="C87" s="1">
        <v>48.0</v>
      </c>
      <c r="D87" s="1">
        <v>54.0</v>
      </c>
      <c r="E87" s="1">
        <v>46.0</v>
      </c>
      <c r="G87" s="2" t="str">
        <f t="shared" si="1"/>
        <v>Medium</v>
      </c>
      <c r="H87" s="2" t="str">
        <f t="shared" si="2"/>
        <v>Saver</v>
      </c>
    </row>
    <row r="88">
      <c r="A88" s="1">
        <v>87.0</v>
      </c>
      <c r="B88" s="1" t="s">
        <v>10</v>
      </c>
      <c r="C88" s="1">
        <v>55.0</v>
      </c>
      <c r="D88" s="1">
        <v>57.0</v>
      </c>
      <c r="E88" s="1">
        <v>58.0</v>
      </c>
      <c r="G88" s="2" t="str">
        <f t="shared" si="1"/>
        <v>Medium</v>
      </c>
      <c r="H88" s="2" t="str">
        <f t="shared" si="2"/>
        <v>Shopper</v>
      </c>
    </row>
    <row r="89">
      <c r="A89" s="1">
        <v>88.0</v>
      </c>
      <c r="B89" s="1" t="s">
        <v>10</v>
      </c>
      <c r="C89" s="1">
        <v>22.0</v>
      </c>
      <c r="D89" s="1">
        <v>57.0</v>
      </c>
      <c r="E89" s="1">
        <v>55.0</v>
      </c>
      <c r="G89" s="2" t="str">
        <f t="shared" si="1"/>
        <v>Medium</v>
      </c>
      <c r="H89" s="2" t="str">
        <f t="shared" si="2"/>
        <v>Shopper</v>
      </c>
    </row>
    <row r="90">
      <c r="A90" s="1">
        <v>89.0</v>
      </c>
      <c r="B90" s="1" t="s">
        <v>10</v>
      </c>
      <c r="C90" s="1">
        <v>34.0</v>
      </c>
      <c r="D90" s="1">
        <v>58.0</v>
      </c>
      <c r="E90" s="1">
        <v>60.0</v>
      </c>
      <c r="G90" s="2" t="str">
        <f t="shared" si="1"/>
        <v>Medium</v>
      </c>
      <c r="H90" s="2" t="str">
        <f t="shared" si="2"/>
        <v>Shopper</v>
      </c>
    </row>
    <row r="91">
      <c r="A91" s="1">
        <v>90.0</v>
      </c>
      <c r="B91" s="1" t="s">
        <v>10</v>
      </c>
      <c r="C91" s="1">
        <v>50.0</v>
      </c>
      <c r="D91" s="1">
        <v>58.0</v>
      </c>
      <c r="E91" s="1">
        <v>46.0</v>
      </c>
      <c r="G91" s="2" t="str">
        <f t="shared" si="1"/>
        <v>Medium</v>
      </c>
      <c r="H91" s="2" t="str">
        <f t="shared" si="2"/>
        <v>Saver</v>
      </c>
    </row>
    <row r="92">
      <c r="A92" s="1">
        <v>91.0</v>
      </c>
      <c r="B92" s="1" t="s">
        <v>10</v>
      </c>
      <c r="C92" s="1">
        <v>68.0</v>
      </c>
      <c r="D92" s="1">
        <v>59.0</v>
      </c>
      <c r="E92" s="1">
        <v>55.0</v>
      </c>
      <c r="G92" s="2" t="str">
        <f t="shared" si="1"/>
        <v>Medium</v>
      </c>
      <c r="H92" s="2" t="str">
        <f t="shared" si="2"/>
        <v>Shopper</v>
      </c>
    </row>
    <row r="93">
      <c r="A93" s="1">
        <v>92.0</v>
      </c>
      <c r="B93" s="1" t="s">
        <v>8</v>
      </c>
      <c r="C93" s="1">
        <v>18.0</v>
      </c>
      <c r="D93" s="1">
        <v>59.0</v>
      </c>
      <c r="E93" s="1">
        <v>41.0</v>
      </c>
      <c r="G93" s="2" t="str">
        <f t="shared" si="1"/>
        <v>Medium</v>
      </c>
      <c r="H93" s="2" t="str">
        <f t="shared" si="2"/>
        <v>Saver</v>
      </c>
    </row>
    <row r="94">
      <c r="A94" s="1">
        <v>93.0</v>
      </c>
      <c r="B94" s="1" t="s">
        <v>8</v>
      </c>
      <c r="C94" s="1">
        <v>48.0</v>
      </c>
      <c r="D94" s="1">
        <v>60.0</v>
      </c>
      <c r="E94" s="1">
        <v>49.0</v>
      </c>
      <c r="G94" s="2" t="str">
        <f t="shared" si="1"/>
        <v>Medium</v>
      </c>
      <c r="H94" s="2" t="str">
        <f t="shared" si="2"/>
        <v>Saver</v>
      </c>
    </row>
    <row r="95">
      <c r="A95" s="1">
        <v>94.0</v>
      </c>
      <c r="B95" s="1" t="s">
        <v>10</v>
      </c>
      <c r="C95" s="1">
        <v>40.0</v>
      </c>
      <c r="D95" s="1">
        <v>60.0</v>
      </c>
      <c r="E95" s="1">
        <v>40.0</v>
      </c>
      <c r="G95" s="2" t="str">
        <f t="shared" si="1"/>
        <v>Medium</v>
      </c>
      <c r="H95" s="2" t="str">
        <f t="shared" si="2"/>
        <v>Saver</v>
      </c>
    </row>
    <row r="96">
      <c r="A96" s="1">
        <v>95.0</v>
      </c>
      <c r="B96" s="1" t="s">
        <v>10</v>
      </c>
      <c r="C96" s="1">
        <v>32.0</v>
      </c>
      <c r="D96" s="1">
        <v>60.0</v>
      </c>
      <c r="E96" s="1">
        <v>42.0</v>
      </c>
      <c r="G96" s="2" t="str">
        <f t="shared" si="1"/>
        <v>Medium</v>
      </c>
      <c r="H96" s="2" t="str">
        <f t="shared" si="2"/>
        <v>Saver</v>
      </c>
    </row>
    <row r="97">
      <c r="A97" s="1">
        <v>96.0</v>
      </c>
      <c r="B97" s="1" t="s">
        <v>8</v>
      </c>
      <c r="C97" s="1">
        <v>24.0</v>
      </c>
      <c r="D97" s="1">
        <v>60.0</v>
      </c>
      <c r="E97" s="1">
        <v>52.0</v>
      </c>
      <c r="G97" s="2" t="str">
        <f t="shared" si="1"/>
        <v>Medium</v>
      </c>
      <c r="H97" s="2" t="str">
        <f t="shared" si="2"/>
        <v>Shopper</v>
      </c>
    </row>
    <row r="98">
      <c r="A98" s="1">
        <v>97.0</v>
      </c>
      <c r="B98" s="1" t="s">
        <v>10</v>
      </c>
      <c r="C98" s="1">
        <v>47.0</v>
      </c>
      <c r="D98" s="1">
        <v>60.0</v>
      </c>
      <c r="E98" s="1">
        <v>47.0</v>
      </c>
      <c r="G98" s="2" t="str">
        <f t="shared" si="1"/>
        <v>Medium</v>
      </c>
      <c r="H98" s="2" t="str">
        <f t="shared" si="2"/>
        <v>Saver</v>
      </c>
    </row>
    <row r="99">
      <c r="A99" s="1">
        <v>98.0</v>
      </c>
      <c r="B99" s="1" t="s">
        <v>10</v>
      </c>
      <c r="C99" s="1">
        <v>27.0</v>
      </c>
      <c r="D99" s="1">
        <v>60.0</v>
      </c>
      <c r="E99" s="1">
        <v>50.0</v>
      </c>
      <c r="G99" s="2" t="str">
        <f t="shared" si="1"/>
        <v>Medium</v>
      </c>
      <c r="H99" s="2" t="str">
        <f t="shared" si="2"/>
        <v>Shopper</v>
      </c>
    </row>
    <row r="100">
      <c r="A100" s="1">
        <v>99.0</v>
      </c>
      <c r="B100" s="1" t="s">
        <v>8</v>
      </c>
      <c r="C100" s="1">
        <v>48.0</v>
      </c>
      <c r="D100" s="1">
        <v>61.0</v>
      </c>
      <c r="E100" s="1">
        <v>42.0</v>
      </c>
      <c r="G100" s="2" t="str">
        <f t="shared" si="1"/>
        <v>Medium</v>
      </c>
      <c r="H100" s="2" t="str">
        <f t="shared" si="2"/>
        <v>Saver</v>
      </c>
    </row>
    <row r="101">
      <c r="A101" s="1">
        <v>100.0</v>
      </c>
      <c r="B101" s="1" t="s">
        <v>8</v>
      </c>
      <c r="C101" s="1">
        <v>20.0</v>
      </c>
      <c r="D101" s="1">
        <v>61.0</v>
      </c>
      <c r="E101" s="1">
        <v>49.0</v>
      </c>
      <c r="G101" s="2" t="str">
        <f t="shared" si="1"/>
        <v>Medium</v>
      </c>
      <c r="H101" s="2" t="str">
        <f t="shared" si="2"/>
        <v>Saver</v>
      </c>
    </row>
    <row r="102">
      <c r="A102" s="1">
        <v>101.0</v>
      </c>
      <c r="B102" s="1" t="s">
        <v>10</v>
      </c>
      <c r="C102" s="1">
        <v>23.0</v>
      </c>
      <c r="D102" s="1">
        <v>62.0</v>
      </c>
      <c r="E102" s="1">
        <v>41.0</v>
      </c>
      <c r="G102" s="2" t="str">
        <f t="shared" si="1"/>
        <v>Medium</v>
      </c>
      <c r="H102" s="2" t="str">
        <f t="shared" si="2"/>
        <v>Saver</v>
      </c>
    </row>
    <row r="103">
      <c r="A103" s="1">
        <v>102.0</v>
      </c>
      <c r="B103" s="1" t="s">
        <v>10</v>
      </c>
      <c r="C103" s="1">
        <v>49.0</v>
      </c>
      <c r="D103" s="1">
        <v>62.0</v>
      </c>
      <c r="E103" s="1">
        <v>48.0</v>
      </c>
      <c r="G103" s="2" t="str">
        <f t="shared" si="1"/>
        <v>Medium</v>
      </c>
      <c r="H103" s="2" t="str">
        <f t="shared" si="2"/>
        <v>Saver</v>
      </c>
    </row>
    <row r="104">
      <c r="A104" s="1">
        <v>103.0</v>
      </c>
      <c r="B104" s="1" t="s">
        <v>8</v>
      </c>
      <c r="C104" s="1">
        <v>67.0</v>
      </c>
      <c r="D104" s="1">
        <v>62.0</v>
      </c>
      <c r="E104" s="1">
        <v>59.0</v>
      </c>
      <c r="G104" s="2" t="str">
        <f t="shared" si="1"/>
        <v>Medium</v>
      </c>
      <c r="H104" s="2" t="str">
        <f t="shared" si="2"/>
        <v>Shopper</v>
      </c>
    </row>
    <row r="105">
      <c r="A105" s="1">
        <v>104.0</v>
      </c>
      <c r="B105" s="1" t="s">
        <v>8</v>
      </c>
      <c r="C105" s="1">
        <v>26.0</v>
      </c>
      <c r="D105" s="1">
        <v>62.0</v>
      </c>
      <c r="E105" s="1">
        <v>55.0</v>
      </c>
      <c r="G105" s="2" t="str">
        <f t="shared" si="1"/>
        <v>Medium</v>
      </c>
      <c r="H105" s="2" t="str">
        <f t="shared" si="2"/>
        <v>Shopper</v>
      </c>
    </row>
    <row r="106">
      <c r="A106" s="1">
        <v>105.0</v>
      </c>
      <c r="B106" s="1" t="s">
        <v>8</v>
      </c>
      <c r="C106" s="1">
        <v>49.0</v>
      </c>
      <c r="D106" s="1">
        <v>62.0</v>
      </c>
      <c r="E106" s="1">
        <v>56.0</v>
      </c>
      <c r="G106" s="2" t="str">
        <f t="shared" si="1"/>
        <v>Medium</v>
      </c>
      <c r="H106" s="2" t="str">
        <f t="shared" si="2"/>
        <v>Shopper</v>
      </c>
    </row>
    <row r="107">
      <c r="A107" s="1">
        <v>106.0</v>
      </c>
      <c r="B107" s="1" t="s">
        <v>10</v>
      </c>
      <c r="C107" s="1">
        <v>21.0</v>
      </c>
      <c r="D107" s="1">
        <v>62.0</v>
      </c>
      <c r="E107" s="1">
        <v>42.0</v>
      </c>
      <c r="G107" s="2" t="str">
        <f t="shared" si="1"/>
        <v>Medium</v>
      </c>
      <c r="H107" s="2" t="str">
        <f t="shared" si="2"/>
        <v>Saver</v>
      </c>
    </row>
    <row r="108">
      <c r="A108" s="1">
        <v>107.0</v>
      </c>
      <c r="B108" s="1" t="s">
        <v>10</v>
      </c>
      <c r="C108" s="1">
        <v>66.0</v>
      </c>
      <c r="D108" s="1">
        <v>63.0</v>
      </c>
      <c r="E108" s="1">
        <v>50.0</v>
      </c>
      <c r="G108" s="2" t="str">
        <f t="shared" si="1"/>
        <v>Medium</v>
      </c>
      <c r="H108" s="2" t="str">
        <f t="shared" si="2"/>
        <v>Shopper</v>
      </c>
    </row>
    <row r="109">
      <c r="A109" s="1">
        <v>108.0</v>
      </c>
      <c r="B109" s="1" t="s">
        <v>8</v>
      </c>
      <c r="C109" s="1">
        <v>54.0</v>
      </c>
      <c r="D109" s="1">
        <v>63.0</v>
      </c>
      <c r="E109" s="1">
        <v>46.0</v>
      </c>
      <c r="G109" s="2" t="str">
        <f t="shared" si="1"/>
        <v>Medium</v>
      </c>
      <c r="H109" s="2" t="str">
        <f t="shared" si="2"/>
        <v>Saver</v>
      </c>
    </row>
    <row r="110">
      <c r="A110" s="1">
        <v>109.0</v>
      </c>
      <c r="B110" s="1" t="s">
        <v>8</v>
      </c>
      <c r="C110" s="1">
        <v>68.0</v>
      </c>
      <c r="D110" s="1">
        <v>63.0</v>
      </c>
      <c r="E110" s="1">
        <v>43.0</v>
      </c>
      <c r="G110" s="2" t="str">
        <f t="shared" si="1"/>
        <v>Medium</v>
      </c>
      <c r="H110" s="2" t="str">
        <f t="shared" si="2"/>
        <v>Saver</v>
      </c>
    </row>
    <row r="111">
      <c r="A111" s="1">
        <v>110.0</v>
      </c>
      <c r="B111" s="1" t="s">
        <v>8</v>
      </c>
      <c r="C111" s="1">
        <v>66.0</v>
      </c>
      <c r="D111" s="1">
        <v>63.0</v>
      </c>
      <c r="E111" s="1">
        <v>48.0</v>
      </c>
      <c r="G111" s="2" t="str">
        <f t="shared" si="1"/>
        <v>Medium</v>
      </c>
      <c r="H111" s="2" t="str">
        <f t="shared" si="2"/>
        <v>Saver</v>
      </c>
    </row>
    <row r="112">
      <c r="A112" s="1">
        <v>111.0</v>
      </c>
      <c r="B112" s="1" t="s">
        <v>8</v>
      </c>
      <c r="C112" s="1">
        <v>65.0</v>
      </c>
      <c r="D112" s="1">
        <v>63.0</v>
      </c>
      <c r="E112" s="1">
        <v>52.0</v>
      </c>
      <c r="G112" s="2" t="str">
        <f t="shared" si="1"/>
        <v>Medium</v>
      </c>
      <c r="H112" s="2" t="str">
        <f t="shared" si="2"/>
        <v>Shopper</v>
      </c>
    </row>
    <row r="113">
      <c r="A113" s="1">
        <v>112.0</v>
      </c>
      <c r="B113" s="1" t="s">
        <v>10</v>
      </c>
      <c r="C113" s="1">
        <v>19.0</v>
      </c>
      <c r="D113" s="1">
        <v>63.0</v>
      </c>
      <c r="E113" s="1">
        <v>54.0</v>
      </c>
      <c r="G113" s="2" t="str">
        <f t="shared" si="1"/>
        <v>Medium</v>
      </c>
      <c r="H113" s="2" t="str">
        <f t="shared" si="2"/>
        <v>Shopper</v>
      </c>
    </row>
    <row r="114">
      <c r="A114" s="1">
        <v>113.0</v>
      </c>
      <c r="B114" s="1" t="s">
        <v>10</v>
      </c>
      <c r="C114" s="1">
        <v>38.0</v>
      </c>
      <c r="D114" s="1">
        <v>64.0</v>
      </c>
      <c r="E114" s="1">
        <v>42.0</v>
      </c>
      <c r="G114" s="2" t="str">
        <f t="shared" si="1"/>
        <v>Medium</v>
      </c>
      <c r="H114" s="2" t="str">
        <f t="shared" si="2"/>
        <v>Saver</v>
      </c>
    </row>
    <row r="115">
      <c r="A115" s="1">
        <v>114.0</v>
      </c>
      <c r="B115" s="1" t="s">
        <v>8</v>
      </c>
      <c r="C115" s="1">
        <v>19.0</v>
      </c>
      <c r="D115" s="1">
        <v>64.0</v>
      </c>
      <c r="E115" s="1">
        <v>46.0</v>
      </c>
      <c r="G115" s="2" t="str">
        <f t="shared" si="1"/>
        <v>Medium</v>
      </c>
      <c r="H115" s="2" t="str">
        <f t="shared" si="2"/>
        <v>Saver</v>
      </c>
    </row>
    <row r="116">
      <c r="A116" s="1">
        <v>115.0</v>
      </c>
      <c r="B116" s="1" t="s">
        <v>10</v>
      </c>
      <c r="C116" s="1">
        <v>18.0</v>
      </c>
      <c r="D116" s="1">
        <v>65.0</v>
      </c>
      <c r="E116" s="1">
        <v>48.0</v>
      </c>
      <c r="G116" s="2" t="str">
        <f t="shared" si="1"/>
        <v>Medium</v>
      </c>
      <c r="H116" s="2" t="str">
        <f t="shared" si="2"/>
        <v>Saver</v>
      </c>
    </row>
    <row r="117">
      <c r="A117" s="1">
        <v>116.0</v>
      </c>
      <c r="B117" s="1" t="s">
        <v>10</v>
      </c>
      <c r="C117" s="1">
        <v>19.0</v>
      </c>
      <c r="D117" s="1">
        <v>65.0</v>
      </c>
      <c r="E117" s="1">
        <v>50.0</v>
      </c>
      <c r="G117" s="2" t="str">
        <f t="shared" si="1"/>
        <v>Medium</v>
      </c>
      <c r="H117" s="2" t="str">
        <f t="shared" si="2"/>
        <v>Shopper</v>
      </c>
    </row>
    <row r="118">
      <c r="A118" s="1">
        <v>117.0</v>
      </c>
      <c r="B118" s="1" t="s">
        <v>10</v>
      </c>
      <c r="C118" s="1">
        <v>63.0</v>
      </c>
      <c r="D118" s="1">
        <v>65.0</v>
      </c>
      <c r="E118" s="1">
        <v>43.0</v>
      </c>
      <c r="G118" s="2" t="str">
        <f t="shared" si="1"/>
        <v>Medium</v>
      </c>
      <c r="H118" s="2" t="str">
        <f t="shared" si="2"/>
        <v>Saver</v>
      </c>
    </row>
    <row r="119">
      <c r="A119" s="1">
        <v>118.0</v>
      </c>
      <c r="B119" s="1" t="s">
        <v>10</v>
      </c>
      <c r="C119" s="1">
        <v>49.0</v>
      </c>
      <c r="D119" s="1">
        <v>65.0</v>
      </c>
      <c r="E119" s="1">
        <v>59.0</v>
      </c>
      <c r="G119" s="2" t="str">
        <f t="shared" si="1"/>
        <v>Medium</v>
      </c>
      <c r="H119" s="2" t="str">
        <f t="shared" si="2"/>
        <v>Shopper</v>
      </c>
    </row>
    <row r="120">
      <c r="A120" s="1">
        <v>119.0</v>
      </c>
      <c r="B120" s="1" t="s">
        <v>10</v>
      </c>
      <c r="C120" s="1">
        <v>51.0</v>
      </c>
      <c r="D120" s="1">
        <v>67.0</v>
      </c>
      <c r="E120" s="1">
        <v>43.0</v>
      </c>
      <c r="G120" s="2" t="str">
        <f t="shared" si="1"/>
        <v>Medium</v>
      </c>
      <c r="H120" s="2" t="str">
        <f t="shared" si="2"/>
        <v>Saver</v>
      </c>
    </row>
    <row r="121">
      <c r="A121" s="1">
        <v>120.0</v>
      </c>
      <c r="B121" s="1" t="s">
        <v>10</v>
      </c>
      <c r="C121" s="1">
        <v>50.0</v>
      </c>
      <c r="D121" s="1">
        <v>67.0</v>
      </c>
      <c r="E121" s="1">
        <v>57.0</v>
      </c>
      <c r="G121" s="2" t="str">
        <f t="shared" si="1"/>
        <v>Medium</v>
      </c>
      <c r="H121" s="2" t="str">
        <f t="shared" si="2"/>
        <v>Shopper</v>
      </c>
    </row>
    <row r="122">
      <c r="A122" s="1">
        <v>121.0</v>
      </c>
      <c r="B122" s="1" t="s">
        <v>8</v>
      </c>
      <c r="C122" s="1">
        <v>27.0</v>
      </c>
      <c r="D122" s="1">
        <v>67.0</v>
      </c>
      <c r="E122" s="1">
        <v>56.0</v>
      </c>
      <c r="G122" s="2" t="str">
        <f t="shared" si="1"/>
        <v>Medium</v>
      </c>
      <c r="H122" s="2" t="str">
        <f t="shared" si="2"/>
        <v>Shopper</v>
      </c>
    </row>
    <row r="123">
      <c r="A123" s="1">
        <v>122.0</v>
      </c>
      <c r="B123" s="1" t="s">
        <v>10</v>
      </c>
      <c r="C123" s="1">
        <v>38.0</v>
      </c>
      <c r="D123" s="1">
        <v>67.0</v>
      </c>
      <c r="E123" s="1">
        <v>40.0</v>
      </c>
      <c r="G123" s="2" t="str">
        <f t="shared" si="1"/>
        <v>Medium</v>
      </c>
      <c r="H123" s="2" t="str">
        <f t="shared" si="2"/>
        <v>Saver</v>
      </c>
    </row>
    <row r="124">
      <c r="A124" s="1">
        <v>123.0</v>
      </c>
      <c r="B124" s="1" t="s">
        <v>10</v>
      </c>
      <c r="C124" s="1">
        <v>40.0</v>
      </c>
      <c r="D124" s="1">
        <v>69.0</v>
      </c>
      <c r="E124" s="1">
        <v>58.0</v>
      </c>
      <c r="G124" s="2" t="str">
        <f t="shared" si="1"/>
        <v>Medium</v>
      </c>
      <c r="H124" s="2" t="str">
        <f t="shared" si="2"/>
        <v>Shopper</v>
      </c>
    </row>
    <row r="125">
      <c r="A125" s="1">
        <v>124.0</v>
      </c>
      <c r="B125" s="1" t="s">
        <v>8</v>
      </c>
      <c r="C125" s="1">
        <v>39.0</v>
      </c>
      <c r="D125" s="1">
        <v>69.0</v>
      </c>
      <c r="E125" s="1">
        <v>91.0</v>
      </c>
      <c r="G125" s="2" t="str">
        <f t="shared" si="1"/>
        <v>Medium</v>
      </c>
      <c r="H125" s="2" t="str">
        <f t="shared" si="2"/>
        <v>Shopper</v>
      </c>
    </row>
    <row r="126">
      <c r="A126" s="1">
        <v>125.0</v>
      </c>
      <c r="B126" s="1" t="s">
        <v>10</v>
      </c>
      <c r="C126" s="1">
        <v>23.0</v>
      </c>
      <c r="D126" s="1">
        <v>70.0</v>
      </c>
      <c r="E126" s="1">
        <v>29.0</v>
      </c>
      <c r="G126" s="2" t="str">
        <f t="shared" si="1"/>
        <v>Medium</v>
      </c>
      <c r="H126" s="2" t="str">
        <f t="shared" si="2"/>
        <v>Saver</v>
      </c>
    </row>
    <row r="127">
      <c r="A127" s="1">
        <v>126.0</v>
      </c>
      <c r="B127" s="1" t="s">
        <v>10</v>
      </c>
      <c r="C127" s="1">
        <v>31.0</v>
      </c>
      <c r="D127" s="1">
        <v>70.0</v>
      </c>
      <c r="E127" s="1">
        <v>77.0</v>
      </c>
      <c r="G127" s="2" t="str">
        <f t="shared" si="1"/>
        <v>Medium</v>
      </c>
      <c r="H127" s="2" t="str">
        <f t="shared" si="2"/>
        <v>Shopper</v>
      </c>
    </row>
    <row r="128">
      <c r="A128" s="1">
        <v>127.0</v>
      </c>
      <c r="B128" s="1" t="s">
        <v>8</v>
      </c>
      <c r="C128" s="1">
        <v>43.0</v>
      </c>
      <c r="D128" s="1">
        <v>71.0</v>
      </c>
      <c r="E128" s="1">
        <v>35.0</v>
      </c>
      <c r="G128" s="2" t="str">
        <f t="shared" si="1"/>
        <v>High</v>
      </c>
      <c r="H128" s="2" t="str">
        <f t="shared" si="2"/>
        <v>Saver</v>
      </c>
    </row>
    <row r="129">
      <c r="A129" s="1">
        <v>128.0</v>
      </c>
      <c r="B129" s="1" t="s">
        <v>8</v>
      </c>
      <c r="C129" s="1">
        <v>40.0</v>
      </c>
      <c r="D129" s="1">
        <v>71.0</v>
      </c>
      <c r="E129" s="1">
        <v>95.0</v>
      </c>
      <c r="G129" s="2" t="str">
        <f t="shared" si="1"/>
        <v>High</v>
      </c>
      <c r="H129" s="2" t="str">
        <f t="shared" si="2"/>
        <v>Shopper</v>
      </c>
    </row>
    <row r="130">
      <c r="A130" s="1">
        <v>129.0</v>
      </c>
      <c r="B130" s="1" t="s">
        <v>8</v>
      </c>
      <c r="C130" s="1">
        <v>59.0</v>
      </c>
      <c r="D130" s="1">
        <v>71.0</v>
      </c>
      <c r="E130" s="1">
        <v>11.0</v>
      </c>
      <c r="G130" s="2" t="str">
        <f t="shared" si="1"/>
        <v>High</v>
      </c>
      <c r="H130" s="2" t="str">
        <f t="shared" si="2"/>
        <v>Saver</v>
      </c>
    </row>
    <row r="131">
      <c r="A131" s="1">
        <v>130.0</v>
      </c>
      <c r="B131" s="1" t="s">
        <v>8</v>
      </c>
      <c r="C131" s="1">
        <v>38.0</v>
      </c>
      <c r="D131" s="1">
        <v>71.0</v>
      </c>
      <c r="E131" s="1">
        <v>75.0</v>
      </c>
      <c r="G131" s="2" t="str">
        <f t="shared" si="1"/>
        <v>High</v>
      </c>
      <c r="H131" s="2" t="str">
        <f t="shared" si="2"/>
        <v>Shopper</v>
      </c>
    </row>
    <row r="132">
      <c r="A132" s="1">
        <v>131.0</v>
      </c>
      <c r="B132" s="1" t="s">
        <v>8</v>
      </c>
      <c r="C132" s="1">
        <v>47.0</v>
      </c>
      <c r="D132" s="1">
        <v>71.0</v>
      </c>
      <c r="E132" s="1">
        <v>9.0</v>
      </c>
      <c r="G132" s="2" t="str">
        <f t="shared" si="1"/>
        <v>High</v>
      </c>
      <c r="H132" s="2" t="str">
        <f t="shared" si="2"/>
        <v>Saver</v>
      </c>
    </row>
    <row r="133">
      <c r="A133" s="1">
        <v>132.0</v>
      </c>
      <c r="B133" s="1" t="s">
        <v>8</v>
      </c>
      <c r="C133" s="1">
        <v>39.0</v>
      </c>
      <c r="D133" s="1">
        <v>71.0</v>
      </c>
      <c r="E133" s="1">
        <v>75.0</v>
      </c>
      <c r="G133" s="2" t="str">
        <f t="shared" si="1"/>
        <v>High</v>
      </c>
      <c r="H133" s="2" t="str">
        <f t="shared" si="2"/>
        <v>Shopper</v>
      </c>
    </row>
    <row r="134">
      <c r="A134" s="1">
        <v>133.0</v>
      </c>
      <c r="B134" s="1" t="s">
        <v>10</v>
      </c>
      <c r="C134" s="1">
        <v>25.0</v>
      </c>
      <c r="D134" s="1">
        <v>72.0</v>
      </c>
      <c r="E134" s="1">
        <v>34.0</v>
      </c>
      <c r="G134" s="2" t="str">
        <f t="shared" si="1"/>
        <v>High</v>
      </c>
      <c r="H134" s="2" t="str">
        <f t="shared" si="2"/>
        <v>Saver</v>
      </c>
    </row>
    <row r="135">
      <c r="A135" s="1">
        <v>134.0</v>
      </c>
      <c r="B135" s="1" t="s">
        <v>10</v>
      </c>
      <c r="C135" s="1">
        <v>31.0</v>
      </c>
      <c r="D135" s="1">
        <v>72.0</v>
      </c>
      <c r="E135" s="1">
        <v>71.0</v>
      </c>
      <c r="G135" s="2" t="str">
        <f t="shared" si="1"/>
        <v>High</v>
      </c>
      <c r="H135" s="2" t="str">
        <f t="shared" si="2"/>
        <v>Shopper</v>
      </c>
    </row>
    <row r="136">
      <c r="A136" s="1">
        <v>135.0</v>
      </c>
      <c r="B136" s="1" t="s">
        <v>8</v>
      </c>
      <c r="C136" s="1">
        <v>20.0</v>
      </c>
      <c r="D136" s="1">
        <v>73.0</v>
      </c>
      <c r="E136" s="1">
        <v>5.0</v>
      </c>
      <c r="G136" s="2" t="str">
        <f t="shared" si="1"/>
        <v>High</v>
      </c>
      <c r="H136" s="2" t="str">
        <f t="shared" si="2"/>
        <v>Saver</v>
      </c>
    </row>
    <row r="137">
      <c r="A137" s="1">
        <v>136.0</v>
      </c>
      <c r="B137" s="1" t="s">
        <v>10</v>
      </c>
      <c r="C137" s="1">
        <v>29.0</v>
      </c>
      <c r="D137" s="1">
        <v>73.0</v>
      </c>
      <c r="E137" s="1">
        <v>88.0</v>
      </c>
      <c r="G137" s="2" t="str">
        <f t="shared" si="1"/>
        <v>High</v>
      </c>
      <c r="H137" s="2" t="str">
        <f t="shared" si="2"/>
        <v>Shopper</v>
      </c>
    </row>
    <row r="138">
      <c r="A138" s="1">
        <v>137.0</v>
      </c>
      <c r="B138" s="1" t="s">
        <v>10</v>
      </c>
      <c r="C138" s="1">
        <v>44.0</v>
      </c>
      <c r="D138" s="1">
        <v>73.0</v>
      </c>
      <c r="E138" s="1">
        <v>7.0</v>
      </c>
      <c r="G138" s="2" t="str">
        <f t="shared" si="1"/>
        <v>High</v>
      </c>
      <c r="H138" s="2" t="str">
        <f t="shared" si="2"/>
        <v>Saver</v>
      </c>
    </row>
    <row r="139">
      <c r="A139" s="1">
        <v>138.0</v>
      </c>
      <c r="B139" s="1" t="s">
        <v>8</v>
      </c>
      <c r="C139" s="1">
        <v>32.0</v>
      </c>
      <c r="D139" s="1">
        <v>73.0</v>
      </c>
      <c r="E139" s="1">
        <v>73.0</v>
      </c>
      <c r="G139" s="2" t="str">
        <f t="shared" si="1"/>
        <v>High</v>
      </c>
      <c r="H139" s="2" t="str">
        <f t="shared" si="2"/>
        <v>Shopper</v>
      </c>
    </row>
    <row r="140">
      <c r="A140" s="1">
        <v>139.0</v>
      </c>
      <c r="B140" s="1" t="s">
        <v>8</v>
      </c>
      <c r="C140" s="1">
        <v>19.0</v>
      </c>
      <c r="D140" s="1">
        <v>74.0</v>
      </c>
      <c r="E140" s="1">
        <v>10.0</v>
      </c>
      <c r="G140" s="2" t="str">
        <f t="shared" si="1"/>
        <v>High</v>
      </c>
      <c r="H140" s="2" t="str">
        <f t="shared" si="2"/>
        <v>Saver</v>
      </c>
    </row>
    <row r="141">
      <c r="A141" s="1">
        <v>140.0</v>
      </c>
      <c r="B141" s="1" t="s">
        <v>10</v>
      </c>
      <c r="C141" s="1">
        <v>35.0</v>
      </c>
      <c r="D141" s="1">
        <v>74.0</v>
      </c>
      <c r="E141" s="1">
        <v>72.0</v>
      </c>
      <c r="G141" s="2" t="str">
        <f t="shared" si="1"/>
        <v>High</v>
      </c>
      <c r="H141" s="2" t="str">
        <f t="shared" si="2"/>
        <v>Shopper</v>
      </c>
    </row>
    <row r="142">
      <c r="A142" s="1">
        <v>141.0</v>
      </c>
      <c r="B142" s="1" t="s">
        <v>10</v>
      </c>
      <c r="C142" s="1">
        <v>57.0</v>
      </c>
      <c r="D142" s="1">
        <v>75.0</v>
      </c>
      <c r="E142" s="1">
        <v>5.0</v>
      </c>
      <c r="G142" s="2" t="str">
        <f t="shared" si="1"/>
        <v>High</v>
      </c>
      <c r="H142" s="2" t="str">
        <f t="shared" si="2"/>
        <v>Saver</v>
      </c>
    </row>
    <row r="143">
      <c r="A143" s="1">
        <v>142.0</v>
      </c>
      <c r="B143" s="1" t="s">
        <v>8</v>
      </c>
      <c r="C143" s="1">
        <v>32.0</v>
      </c>
      <c r="D143" s="1">
        <v>75.0</v>
      </c>
      <c r="E143" s="1">
        <v>93.0</v>
      </c>
      <c r="G143" s="2" t="str">
        <f t="shared" si="1"/>
        <v>High</v>
      </c>
      <c r="H143" s="2" t="str">
        <f t="shared" si="2"/>
        <v>Shopper</v>
      </c>
    </row>
    <row r="144">
      <c r="A144" s="1">
        <v>143.0</v>
      </c>
      <c r="B144" s="1" t="s">
        <v>10</v>
      </c>
      <c r="C144" s="1">
        <v>28.0</v>
      </c>
      <c r="D144" s="1">
        <v>76.0</v>
      </c>
      <c r="E144" s="1">
        <v>40.0</v>
      </c>
      <c r="G144" s="2" t="str">
        <f t="shared" si="1"/>
        <v>High</v>
      </c>
      <c r="H144" s="2" t="str">
        <f t="shared" si="2"/>
        <v>Saver</v>
      </c>
    </row>
    <row r="145">
      <c r="A145" s="1">
        <v>144.0</v>
      </c>
      <c r="B145" s="1" t="s">
        <v>10</v>
      </c>
      <c r="C145" s="1">
        <v>32.0</v>
      </c>
      <c r="D145" s="1">
        <v>76.0</v>
      </c>
      <c r="E145" s="1">
        <v>87.0</v>
      </c>
      <c r="G145" s="2" t="str">
        <f t="shared" si="1"/>
        <v>High</v>
      </c>
      <c r="H145" s="2" t="str">
        <f t="shared" si="2"/>
        <v>Shopper</v>
      </c>
    </row>
    <row r="146">
      <c r="A146" s="1">
        <v>145.0</v>
      </c>
      <c r="B146" s="1" t="s">
        <v>8</v>
      </c>
      <c r="C146" s="1">
        <v>25.0</v>
      </c>
      <c r="D146" s="1">
        <v>77.0</v>
      </c>
      <c r="E146" s="1">
        <v>12.0</v>
      </c>
      <c r="G146" s="2" t="str">
        <f t="shared" si="1"/>
        <v>High</v>
      </c>
      <c r="H146" s="2" t="str">
        <f t="shared" si="2"/>
        <v>Saver</v>
      </c>
    </row>
    <row r="147">
      <c r="A147" s="1">
        <v>146.0</v>
      </c>
      <c r="B147" s="1" t="s">
        <v>8</v>
      </c>
      <c r="C147" s="1">
        <v>28.0</v>
      </c>
      <c r="D147" s="1">
        <v>77.0</v>
      </c>
      <c r="E147" s="1">
        <v>97.0</v>
      </c>
      <c r="G147" s="2" t="str">
        <f t="shared" si="1"/>
        <v>High</v>
      </c>
      <c r="H147" s="2" t="str">
        <f t="shared" si="2"/>
        <v>Shopper</v>
      </c>
    </row>
    <row r="148">
      <c r="A148" s="1">
        <v>147.0</v>
      </c>
      <c r="B148" s="1" t="s">
        <v>8</v>
      </c>
      <c r="C148" s="1">
        <v>48.0</v>
      </c>
      <c r="D148" s="1">
        <v>77.0</v>
      </c>
      <c r="E148" s="1">
        <v>36.0</v>
      </c>
      <c r="G148" s="2" t="str">
        <f t="shared" si="1"/>
        <v>High</v>
      </c>
      <c r="H148" s="2" t="str">
        <f t="shared" si="2"/>
        <v>Saver</v>
      </c>
    </row>
    <row r="149">
      <c r="A149" s="1">
        <v>148.0</v>
      </c>
      <c r="B149" s="1" t="s">
        <v>10</v>
      </c>
      <c r="C149" s="1">
        <v>32.0</v>
      </c>
      <c r="D149" s="1">
        <v>77.0</v>
      </c>
      <c r="E149" s="1">
        <v>74.0</v>
      </c>
      <c r="G149" s="2" t="str">
        <f t="shared" si="1"/>
        <v>High</v>
      </c>
      <c r="H149" s="2" t="str">
        <f t="shared" si="2"/>
        <v>Shopper</v>
      </c>
    </row>
    <row r="150">
      <c r="A150" s="1">
        <v>149.0</v>
      </c>
      <c r="B150" s="1" t="s">
        <v>10</v>
      </c>
      <c r="C150" s="1">
        <v>34.0</v>
      </c>
      <c r="D150" s="1">
        <v>78.0</v>
      </c>
      <c r="E150" s="1">
        <v>22.0</v>
      </c>
      <c r="G150" s="2" t="str">
        <f t="shared" si="1"/>
        <v>High</v>
      </c>
      <c r="H150" s="2" t="str">
        <f t="shared" si="2"/>
        <v>Saver</v>
      </c>
    </row>
    <row r="151">
      <c r="A151" s="1">
        <v>150.0</v>
      </c>
      <c r="B151" s="1" t="s">
        <v>8</v>
      </c>
      <c r="C151" s="1">
        <v>34.0</v>
      </c>
      <c r="D151" s="1">
        <v>78.0</v>
      </c>
      <c r="E151" s="1">
        <v>90.0</v>
      </c>
      <c r="G151" s="2" t="str">
        <f t="shared" si="1"/>
        <v>High</v>
      </c>
      <c r="H151" s="2" t="str">
        <f t="shared" si="2"/>
        <v>Shopper</v>
      </c>
    </row>
    <row r="152">
      <c r="A152" s="1">
        <v>151.0</v>
      </c>
      <c r="B152" s="1" t="s">
        <v>8</v>
      </c>
      <c r="C152" s="1">
        <v>43.0</v>
      </c>
      <c r="D152" s="1">
        <v>78.0</v>
      </c>
      <c r="E152" s="1">
        <v>17.0</v>
      </c>
      <c r="G152" s="2" t="str">
        <f t="shared" si="1"/>
        <v>High</v>
      </c>
      <c r="H152" s="2" t="str">
        <f t="shared" si="2"/>
        <v>Saver</v>
      </c>
    </row>
    <row r="153">
      <c r="A153" s="1">
        <v>152.0</v>
      </c>
      <c r="B153" s="1" t="s">
        <v>8</v>
      </c>
      <c r="C153" s="1">
        <v>39.0</v>
      </c>
      <c r="D153" s="1">
        <v>78.0</v>
      </c>
      <c r="E153" s="1">
        <v>88.0</v>
      </c>
      <c r="G153" s="2" t="str">
        <f t="shared" si="1"/>
        <v>High</v>
      </c>
      <c r="H153" s="2" t="str">
        <f t="shared" si="2"/>
        <v>Shopper</v>
      </c>
    </row>
    <row r="154">
      <c r="A154" s="1">
        <v>153.0</v>
      </c>
      <c r="B154" s="1" t="s">
        <v>10</v>
      </c>
      <c r="C154" s="1">
        <v>44.0</v>
      </c>
      <c r="D154" s="1">
        <v>78.0</v>
      </c>
      <c r="E154" s="1">
        <v>20.0</v>
      </c>
      <c r="G154" s="2" t="str">
        <f t="shared" si="1"/>
        <v>High</v>
      </c>
      <c r="H154" s="2" t="str">
        <f t="shared" si="2"/>
        <v>Saver</v>
      </c>
    </row>
    <row r="155">
      <c r="A155" s="1">
        <v>154.0</v>
      </c>
      <c r="B155" s="1" t="s">
        <v>10</v>
      </c>
      <c r="C155" s="1">
        <v>38.0</v>
      </c>
      <c r="D155" s="1">
        <v>78.0</v>
      </c>
      <c r="E155" s="1">
        <v>76.0</v>
      </c>
      <c r="G155" s="2" t="str">
        <f t="shared" si="1"/>
        <v>High</v>
      </c>
      <c r="H155" s="2" t="str">
        <f t="shared" si="2"/>
        <v>Shopper</v>
      </c>
    </row>
    <row r="156">
      <c r="A156" s="1">
        <v>155.0</v>
      </c>
      <c r="B156" s="1" t="s">
        <v>10</v>
      </c>
      <c r="C156" s="1">
        <v>47.0</v>
      </c>
      <c r="D156" s="1">
        <v>78.0</v>
      </c>
      <c r="E156" s="1">
        <v>16.0</v>
      </c>
      <c r="G156" s="2" t="str">
        <f t="shared" si="1"/>
        <v>High</v>
      </c>
      <c r="H156" s="2" t="str">
        <f t="shared" si="2"/>
        <v>Saver</v>
      </c>
    </row>
    <row r="157">
      <c r="A157" s="1">
        <v>156.0</v>
      </c>
      <c r="B157" s="1" t="s">
        <v>10</v>
      </c>
      <c r="C157" s="1">
        <v>27.0</v>
      </c>
      <c r="D157" s="1">
        <v>78.0</v>
      </c>
      <c r="E157" s="1">
        <v>89.0</v>
      </c>
      <c r="G157" s="2" t="str">
        <f t="shared" si="1"/>
        <v>High</v>
      </c>
      <c r="H157" s="2" t="str">
        <f t="shared" si="2"/>
        <v>Shopper</v>
      </c>
    </row>
    <row r="158">
      <c r="A158" s="1">
        <v>157.0</v>
      </c>
      <c r="B158" s="1" t="s">
        <v>8</v>
      </c>
      <c r="C158" s="1">
        <v>37.0</v>
      </c>
      <c r="D158" s="1">
        <v>78.0</v>
      </c>
      <c r="E158" s="1">
        <v>1.0</v>
      </c>
      <c r="G158" s="2" t="str">
        <f t="shared" si="1"/>
        <v>High</v>
      </c>
      <c r="H158" s="2" t="str">
        <f t="shared" si="2"/>
        <v>Saver</v>
      </c>
    </row>
    <row r="159">
      <c r="A159" s="1">
        <v>158.0</v>
      </c>
      <c r="B159" s="1" t="s">
        <v>10</v>
      </c>
      <c r="C159" s="1">
        <v>30.0</v>
      </c>
      <c r="D159" s="1">
        <v>78.0</v>
      </c>
      <c r="E159" s="1">
        <v>78.0</v>
      </c>
      <c r="G159" s="2" t="str">
        <f t="shared" si="1"/>
        <v>High</v>
      </c>
      <c r="H159" s="2" t="str">
        <f t="shared" si="2"/>
        <v>Shopper</v>
      </c>
    </row>
    <row r="160">
      <c r="A160" s="1">
        <v>159.0</v>
      </c>
      <c r="B160" s="1" t="s">
        <v>8</v>
      </c>
      <c r="C160" s="1">
        <v>34.0</v>
      </c>
      <c r="D160" s="1">
        <v>78.0</v>
      </c>
      <c r="E160" s="1">
        <v>1.0</v>
      </c>
      <c r="G160" s="2" t="str">
        <f t="shared" si="1"/>
        <v>High</v>
      </c>
      <c r="H160" s="2" t="str">
        <f t="shared" si="2"/>
        <v>Saver</v>
      </c>
    </row>
    <row r="161">
      <c r="A161" s="1">
        <v>160.0</v>
      </c>
      <c r="B161" s="1" t="s">
        <v>10</v>
      </c>
      <c r="C161" s="1">
        <v>30.0</v>
      </c>
      <c r="D161" s="1">
        <v>78.0</v>
      </c>
      <c r="E161" s="1">
        <v>73.0</v>
      </c>
      <c r="G161" s="2" t="str">
        <f t="shared" si="1"/>
        <v>High</v>
      </c>
      <c r="H161" s="2" t="str">
        <f t="shared" si="2"/>
        <v>Shopper</v>
      </c>
    </row>
    <row r="162">
      <c r="A162" s="1">
        <v>161.0</v>
      </c>
      <c r="B162" s="1" t="s">
        <v>10</v>
      </c>
      <c r="C162" s="1">
        <v>56.0</v>
      </c>
      <c r="D162" s="1">
        <v>79.0</v>
      </c>
      <c r="E162" s="1">
        <v>35.0</v>
      </c>
      <c r="G162" s="2" t="str">
        <f t="shared" si="1"/>
        <v>High</v>
      </c>
      <c r="H162" s="2" t="str">
        <f t="shared" si="2"/>
        <v>Saver</v>
      </c>
    </row>
    <row r="163">
      <c r="A163" s="1">
        <v>162.0</v>
      </c>
      <c r="B163" s="1" t="s">
        <v>10</v>
      </c>
      <c r="C163" s="1">
        <v>29.0</v>
      </c>
      <c r="D163" s="1">
        <v>79.0</v>
      </c>
      <c r="E163" s="1">
        <v>83.0</v>
      </c>
      <c r="G163" s="2" t="str">
        <f t="shared" si="1"/>
        <v>High</v>
      </c>
      <c r="H163" s="2" t="str">
        <f t="shared" si="2"/>
        <v>Shopper</v>
      </c>
    </row>
    <row r="164">
      <c r="A164" s="1">
        <v>163.0</v>
      </c>
      <c r="B164" s="1" t="s">
        <v>8</v>
      </c>
      <c r="C164" s="1">
        <v>19.0</v>
      </c>
      <c r="D164" s="1">
        <v>81.0</v>
      </c>
      <c r="E164" s="1">
        <v>5.0</v>
      </c>
      <c r="G164" s="2" t="str">
        <f t="shared" si="1"/>
        <v>High</v>
      </c>
      <c r="H164" s="2" t="str">
        <f t="shared" si="2"/>
        <v>Saver</v>
      </c>
    </row>
    <row r="165">
      <c r="A165" s="1">
        <v>164.0</v>
      </c>
      <c r="B165" s="1" t="s">
        <v>10</v>
      </c>
      <c r="C165" s="1">
        <v>31.0</v>
      </c>
      <c r="D165" s="1">
        <v>81.0</v>
      </c>
      <c r="E165" s="1">
        <v>93.0</v>
      </c>
      <c r="G165" s="2" t="str">
        <f t="shared" si="1"/>
        <v>High</v>
      </c>
      <c r="H165" s="2" t="str">
        <f t="shared" si="2"/>
        <v>Shopper</v>
      </c>
    </row>
    <row r="166">
      <c r="A166" s="1">
        <v>165.0</v>
      </c>
      <c r="B166" s="1" t="s">
        <v>8</v>
      </c>
      <c r="C166" s="1">
        <v>50.0</v>
      </c>
      <c r="D166" s="1">
        <v>85.0</v>
      </c>
      <c r="E166" s="1">
        <v>26.0</v>
      </c>
      <c r="G166" s="2" t="str">
        <f t="shared" si="1"/>
        <v>High</v>
      </c>
      <c r="H166" s="2" t="str">
        <f t="shared" si="2"/>
        <v>Saver</v>
      </c>
    </row>
    <row r="167">
      <c r="A167" s="1">
        <v>166.0</v>
      </c>
      <c r="B167" s="1" t="s">
        <v>10</v>
      </c>
      <c r="C167" s="1">
        <v>36.0</v>
      </c>
      <c r="D167" s="1">
        <v>85.0</v>
      </c>
      <c r="E167" s="1">
        <v>75.0</v>
      </c>
      <c r="G167" s="2" t="str">
        <f t="shared" si="1"/>
        <v>High</v>
      </c>
      <c r="H167" s="2" t="str">
        <f t="shared" si="2"/>
        <v>Shopper</v>
      </c>
    </row>
    <row r="168">
      <c r="A168" s="1">
        <v>167.0</v>
      </c>
      <c r="B168" s="1" t="s">
        <v>8</v>
      </c>
      <c r="C168" s="1">
        <v>42.0</v>
      </c>
      <c r="D168" s="1">
        <v>86.0</v>
      </c>
      <c r="E168" s="1">
        <v>20.0</v>
      </c>
      <c r="G168" s="2" t="str">
        <f t="shared" si="1"/>
        <v>High</v>
      </c>
      <c r="H168" s="2" t="str">
        <f t="shared" si="2"/>
        <v>Saver</v>
      </c>
    </row>
    <row r="169">
      <c r="A169" s="1">
        <v>168.0</v>
      </c>
      <c r="B169" s="1" t="s">
        <v>10</v>
      </c>
      <c r="C169" s="1">
        <v>33.0</v>
      </c>
      <c r="D169" s="1">
        <v>86.0</v>
      </c>
      <c r="E169" s="1">
        <v>95.0</v>
      </c>
      <c r="G169" s="2" t="str">
        <f t="shared" si="1"/>
        <v>High</v>
      </c>
      <c r="H169" s="2" t="str">
        <f t="shared" si="2"/>
        <v>Shopper</v>
      </c>
    </row>
    <row r="170">
      <c r="A170" s="1">
        <v>169.0</v>
      </c>
      <c r="B170" s="1" t="s">
        <v>10</v>
      </c>
      <c r="C170" s="1">
        <v>36.0</v>
      </c>
      <c r="D170" s="1">
        <v>87.0</v>
      </c>
      <c r="E170" s="1">
        <v>27.0</v>
      </c>
      <c r="G170" s="2" t="str">
        <f t="shared" si="1"/>
        <v>High</v>
      </c>
      <c r="H170" s="2" t="str">
        <f t="shared" si="2"/>
        <v>Saver</v>
      </c>
    </row>
    <row r="171">
      <c r="A171" s="1">
        <v>170.0</v>
      </c>
      <c r="B171" s="1" t="s">
        <v>8</v>
      </c>
      <c r="C171" s="1">
        <v>32.0</v>
      </c>
      <c r="D171" s="1">
        <v>87.0</v>
      </c>
      <c r="E171" s="1">
        <v>63.0</v>
      </c>
      <c r="G171" s="2" t="str">
        <f t="shared" si="1"/>
        <v>High</v>
      </c>
      <c r="H171" s="2" t="str">
        <f t="shared" si="2"/>
        <v>Shopper</v>
      </c>
    </row>
    <row r="172">
      <c r="A172" s="1">
        <v>171.0</v>
      </c>
      <c r="B172" s="1" t="s">
        <v>8</v>
      </c>
      <c r="C172" s="1">
        <v>40.0</v>
      </c>
      <c r="D172" s="1">
        <v>87.0</v>
      </c>
      <c r="E172" s="1">
        <v>13.0</v>
      </c>
      <c r="G172" s="2" t="str">
        <f t="shared" si="1"/>
        <v>High</v>
      </c>
      <c r="H172" s="2" t="str">
        <f t="shared" si="2"/>
        <v>Saver</v>
      </c>
    </row>
    <row r="173">
      <c r="A173" s="1">
        <v>172.0</v>
      </c>
      <c r="B173" s="1" t="s">
        <v>8</v>
      </c>
      <c r="C173" s="1">
        <v>28.0</v>
      </c>
      <c r="D173" s="1">
        <v>87.0</v>
      </c>
      <c r="E173" s="1">
        <v>75.0</v>
      </c>
      <c r="G173" s="2" t="str">
        <f t="shared" si="1"/>
        <v>High</v>
      </c>
      <c r="H173" s="2" t="str">
        <f t="shared" si="2"/>
        <v>Shopper</v>
      </c>
    </row>
    <row r="174">
      <c r="A174" s="1">
        <v>173.0</v>
      </c>
      <c r="B174" s="1" t="s">
        <v>8</v>
      </c>
      <c r="C174" s="1">
        <v>36.0</v>
      </c>
      <c r="D174" s="1">
        <v>87.0</v>
      </c>
      <c r="E174" s="1">
        <v>10.0</v>
      </c>
      <c r="G174" s="2" t="str">
        <f t="shared" si="1"/>
        <v>High</v>
      </c>
      <c r="H174" s="2" t="str">
        <f t="shared" si="2"/>
        <v>Saver</v>
      </c>
    </row>
    <row r="175">
      <c r="A175" s="1">
        <v>174.0</v>
      </c>
      <c r="B175" s="1" t="s">
        <v>8</v>
      </c>
      <c r="C175" s="1">
        <v>36.0</v>
      </c>
      <c r="D175" s="1">
        <v>87.0</v>
      </c>
      <c r="E175" s="1">
        <v>92.0</v>
      </c>
      <c r="G175" s="2" t="str">
        <f t="shared" si="1"/>
        <v>High</v>
      </c>
      <c r="H175" s="2" t="str">
        <f t="shared" si="2"/>
        <v>Shopper</v>
      </c>
    </row>
    <row r="176">
      <c r="A176" s="1">
        <v>175.0</v>
      </c>
      <c r="B176" s="1" t="s">
        <v>10</v>
      </c>
      <c r="C176" s="1">
        <v>52.0</v>
      </c>
      <c r="D176" s="1">
        <v>88.0</v>
      </c>
      <c r="E176" s="1">
        <v>13.0</v>
      </c>
      <c r="G176" s="2" t="str">
        <f t="shared" si="1"/>
        <v>High</v>
      </c>
      <c r="H176" s="2" t="str">
        <f t="shared" si="2"/>
        <v>Saver</v>
      </c>
    </row>
    <row r="177">
      <c r="A177" s="1">
        <v>176.0</v>
      </c>
      <c r="B177" s="1" t="s">
        <v>10</v>
      </c>
      <c r="C177" s="1">
        <v>30.0</v>
      </c>
      <c r="D177" s="1">
        <v>88.0</v>
      </c>
      <c r="E177" s="1">
        <v>86.0</v>
      </c>
      <c r="G177" s="2" t="str">
        <f t="shared" si="1"/>
        <v>High</v>
      </c>
      <c r="H177" s="2" t="str">
        <f t="shared" si="2"/>
        <v>Shopper</v>
      </c>
    </row>
    <row r="178">
      <c r="A178" s="1">
        <v>177.0</v>
      </c>
      <c r="B178" s="1" t="s">
        <v>8</v>
      </c>
      <c r="C178" s="1">
        <v>58.0</v>
      </c>
      <c r="D178" s="1">
        <v>88.0</v>
      </c>
      <c r="E178" s="1">
        <v>15.0</v>
      </c>
      <c r="G178" s="2" t="str">
        <f t="shared" si="1"/>
        <v>High</v>
      </c>
      <c r="H178" s="2" t="str">
        <f t="shared" si="2"/>
        <v>Saver</v>
      </c>
    </row>
    <row r="179">
      <c r="A179" s="1">
        <v>178.0</v>
      </c>
      <c r="B179" s="1" t="s">
        <v>8</v>
      </c>
      <c r="C179" s="1">
        <v>27.0</v>
      </c>
      <c r="D179" s="1">
        <v>88.0</v>
      </c>
      <c r="E179" s="1">
        <v>69.0</v>
      </c>
      <c r="G179" s="2" t="str">
        <f t="shared" si="1"/>
        <v>High</v>
      </c>
      <c r="H179" s="2" t="str">
        <f t="shared" si="2"/>
        <v>Shopper</v>
      </c>
    </row>
    <row r="180">
      <c r="A180" s="1">
        <v>179.0</v>
      </c>
      <c r="B180" s="1" t="s">
        <v>8</v>
      </c>
      <c r="C180" s="1">
        <v>59.0</v>
      </c>
      <c r="D180" s="1">
        <v>93.0</v>
      </c>
      <c r="E180" s="1">
        <v>14.0</v>
      </c>
      <c r="G180" s="2" t="str">
        <f t="shared" si="1"/>
        <v>High</v>
      </c>
      <c r="H180" s="2" t="str">
        <f t="shared" si="2"/>
        <v>Saver</v>
      </c>
    </row>
    <row r="181">
      <c r="A181" s="1">
        <v>180.0</v>
      </c>
      <c r="B181" s="1" t="s">
        <v>8</v>
      </c>
      <c r="C181" s="1">
        <v>35.0</v>
      </c>
      <c r="D181" s="1">
        <v>93.0</v>
      </c>
      <c r="E181" s="1">
        <v>90.0</v>
      </c>
      <c r="G181" s="2" t="str">
        <f t="shared" si="1"/>
        <v>High</v>
      </c>
      <c r="H181" s="2" t="str">
        <f t="shared" si="2"/>
        <v>Shopper</v>
      </c>
    </row>
    <row r="182">
      <c r="A182" s="1">
        <v>181.0</v>
      </c>
      <c r="B182" s="1" t="s">
        <v>10</v>
      </c>
      <c r="C182" s="1">
        <v>37.0</v>
      </c>
      <c r="D182" s="1">
        <v>97.0</v>
      </c>
      <c r="E182" s="1">
        <v>32.0</v>
      </c>
      <c r="G182" s="2" t="str">
        <f t="shared" si="1"/>
        <v>High</v>
      </c>
      <c r="H182" s="2" t="str">
        <f t="shared" si="2"/>
        <v>Saver</v>
      </c>
    </row>
    <row r="183">
      <c r="A183" s="1">
        <v>182.0</v>
      </c>
      <c r="B183" s="1" t="s">
        <v>10</v>
      </c>
      <c r="C183" s="1">
        <v>32.0</v>
      </c>
      <c r="D183" s="1">
        <v>97.0</v>
      </c>
      <c r="E183" s="1">
        <v>86.0</v>
      </c>
      <c r="G183" s="2" t="str">
        <f t="shared" si="1"/>
        <v>High</v>
      </c>
      <c r="H183" s="2" t="str">
        <f t="shared" si="2"/>
        <v>Shopper</v>
      </c>
    </row>
    <row r="184">
      <c r="A184" s="1">
        <v>183.0</v>
      </c>
      <c r="B184" s="1" t="s">
        <v>8</v>
      </c>
      <c r="C184" s="1">
        <v>46.0</v>
      </c>
      <c r="D184" s="1">
        <v>98.0</v>
      </c>
      <c r="E184" s="1">
        <v>15.0</v>
      </c>
      <c r="G184" s="2" t="str">
        <f t="shared" si="1"/>
        <v>High</v>
      </c>
      <c r="H184" s="2" t="str">
        <f t="shared" si="2"/>
        <v>Saver</v>
      </c>
    </row>
    <row r="185">
      <c r="A185" s="1">
        <v>184.0</v>
      </c>
      <c r="B185" s="1" t="s">
        <v>10</v>
      </c>
      <c r="C185" s="1">
        <v>29.0</v>
      </c>
      <c r="D185" s="1">
        <v>98.0</v>
      </c>
      <c r="E185" s="1">
        <v>88.0</v>
      </c>
      <c r="G185" s="2" t="str">
        <f t="shared" si="1"/>
        <v>High</v>
      </c>
      <c r="H185" s="2" t="str">
        <f t="shared" si="2"/>
        <v>Shopper</v>
      </c>
    </row>
    <row r="186">
      <c r="A186" s="1">
        <v>185.0</v>
      </c>
      <c r="B186" s="1" t="s">
        <v>10</v>
      </c>
      <c r="C186" s="1">
        <v>41.0</v>
      </c>
      <c r="D186" s="1">
        <v>99.0</v>
      </c>
      <c r="E186" s="1">
        <v>39.0</v>
      </c>
      <c r="G186" s="2" t="str">
        <f t="shared" si="1"/>
        <v>High</v>
      </c>
      <c r="H186" s="2" t="str">
        <f t="shared" si="2"/>
        <v>Saver</v>
      </c>
    </row>
    <row r="187">
      <c r="A187" s="1">
        <v>186.0</v>
      </c>
      <c r="B187" s="1" t="s">
        <v>8</v>
      </c>
      <c r="C187" s="1">
        <v>30.0</v>
      </c>
      <c r="D187" s="1">
        <v>99.0</v>
      </c>
      <c r="E187" s="1">
        <v>97.0</v>
      </c>
      <c r="G187" s="2" t="str">
        <f t="shared" si="1"/>
        <v>High</v>
      </c>
      <c r="H187" s="2" t="str">
        <f t="shared" si="2"/>
        <v>Shopper</v>
      </c>
    </row>
    <row r="188">
      <c r="A188" s="1">
        <v>187.0</v>
      </c>
      <c r="B188" s="1" t="s">
        <v>10</v>
      </c>
      <c r="C188" s="1">
        <v>54.0</v>
      </c>
      <c r="D188" s="1">
        <v>101.0</v>
      </c>
      <c r="E188" s="1">
        <v>24.0</v>
      </c>
      <c r="G188" s="2" t="str">
        <f t="shared" si="1"/>
        <v>High</v>
      </c>
      <c r="H188" s="2" t="str">
        <f t="shared" si="2"/>
        <v>Saver</v>
      </c>
    </row>
    <row r="189">
      <c r="A189" s="1">
        <v>188.0</v>
      </c>
      <c r="B189" s="1" t="s">
        <v>8</v>
      </c>
      <c r="C189" s="1">
        <v>28.0</v>
      </c>
      <c r="D189" s="1">
        <v>101.0</v>
      </c>
      <c r="E189" s="1">
        <v>68.0</v>
      </c>
      <c r="G189" s="2" t="str">
        <f t="shared" si="1"/>
        <v>High</v>
      </c>
      <c r="H189" s="2" t="str">
        <f t="shared" si="2"/>
        <v>Shopper</v>
      </c>
    </row>
    <row r="190">
      <c r="A190" s="1">
        <v>189.0</v>
      </c>
      <c r="B190" s="1" t="s">
        <v>10</v>
      </c>
      <c r="C190" s="1">
        <v>41.0</v>
      </c>
      <c r="D190" s="1">
        <v>103.0</v>
      </c>
      <c r="E190" s="1">
        <v>17.0</v>
      </c>
      <c r="G190" s="2" t="str">
        <f t="shared" si="1"/>
        <v>High</v>
      </c>
      <c r="H190" s="2" t="str">
        <f t="shared" si="2"/>
        <v>Saver</v>
      </c>
    </row>
    <row r="191">
      <c r="A191" s="1">
        <v>190.0</v>
      </c>
      <c r="B191" s="1" t="s">
        <v>10</v>
      </c>
      <c r="C191" s="1">
        <v>36.0</v>
      </c>
      <c r="D191" s="1">
        <v>103.0</v>
      </c>
      <c r="E191" s="1">
        <v>85.0</v>
      </c>
      <c r="G191" s="2" t="str">
        <f t="shared" si="1"/>
        <v>High</v>
      </c>
      <c r="H191" s="2" t="str">
        <f t="shared" si="2"/>
        <v>Shopper</v>
      </c>
    </row>
    <row r="192">
      <c r="A192" s="1">
        <v>191.0</v>
      </c>
      <c r="B192" s="1" t="s">
        <v>10</v>
      </c>
      <c r="C192" s="1">
        <v>34.0</v>
      </c>
      <c r="D192" s="1">
        <v>103.0</v>
      </c>
      <c r="E192" s="1">
        <v>23.0</v>
      </c>
      <c r="G192" s="2" t="str">
        <f t="shared" si="1"/>
        <v>High</v>
      </c>
      <c r="H192" s="2" t="str">
        <f t="shared" si="2"/>
        <v>Saver</v>
      </c>
    </row>
    <row r="193">
      <c r="A193" s="1">
        <v>192.0</v>
      </c>
      <c r="B193" s="1" t="s">
        <v>10</v>
      </c>
      <c r="C193" s="1">
        <v>32.0</v>
      </c>
      <c r="D193" s="1">
        <v>103.0</v>
      </c>
      <c r="E193" s="1">
        <v>69.0</v>
      </c>
      <c r="G193" s="2" t="str">
        <f t="shared" si="1"/>
        <v>High</v>
      </c>
      <c r="H193" s="2" t="str">
        <f t="shared" si="2"/>
        <v>Shopper</v>
      </c>
    </row>
    <row r="194">
      <c r="A194" s="1">
        <v>193.0</v>
      </c>
      <c r="B194" s="1" t="s">
        <v>8</v>
      </c>
      <c r="C194" s="1">
        <v>33.0</v>
      </c>
      <c r="D194" s="1">
        <v>113.0</v>
      </c>
      <c r="E194" s="1">
        <v>8.0</v>
      </c>
      <c r="G194" s="2" t="str">
        <f t="shared" si="1"/>
        <v>High</v>
      </c>
      <c r="H194" s="2" t="str">
        <f t="shared" si="2"/>
        <v>Saver</v>
      </c>
    </row>
    <row r="195">
      <c r="A195" s="1">
        <v>194.0</v>
      </c>
      <c r="B195" s="1" t="s">
        <v>10</v>
      </c>
      <c r="C195" s="1">
        <v>38.0</v>
      </c>
      <c r="D195" s="1">
        <v>113.0</v>
      </c>
      <c r="E195" s="1">
        <v>91.0</v>
      </c>
      <c r="G195" s="2" t="str">
        <f t="shared" si="1"/>
        <v>High</v>
      </c>
      <c r="H195" s="2" t="str">
        <f t="shared" si="2"/>
        <v>Shopper</v>
      </c>
    </row>
    <row r="196">
      <c r="A196" s="1">
        <v>195.0</v>
      </c>
      <c r="B196" s="1" t="s">
        <v>10</v>
      </c>
      <c r="C196" s="1">
        <v>47.0</v>
      </c>
      <c r="D196" s="1">
        <v>120.0</v>
      </c>
      <c r="E196" s="1">
        <v>16.0</v>
      </c>
      <c r="G196" s="2" t="str">
        <f t="shared" si="1"/>
        <v>High</v>
      </c>
      <c r="H196" s="2" t="str">
        <f t="shared" si="2"/>
        <v>Saver</v>
      </c>
    </row>
    <row r="197">
      <c r="A197" s="1">
        <v>196.0</v>
      </c>
      <c r="B197" s="1" t="s">
        <v>10</v>
      </c>
      <c r="C197" s="1">
        <v>35.0</v>
      </c>
      <c r="D197" s="1">
        <v>120.0</v>
      </c>
      <c r="E197" s="1">
        <v>79.0</v>
      </c>
      <c r="G197" s="2" t="str">
        <f t="shared" si="1"/>
        <v>High</v>
      </c>
      <c r="H197" s="2" t="str">
        <f t="shared" si="2"/>
        <v>Shopper</v>
      </c>
    </row>
    <row r="198">
      <c r="A198" s="1">
        <v>197.0</v>
      </c>
      <c r="B198" s="1" t="s">
        <v>10</v>
      </c>
      <c r="C198" s="1">
        <v>45.0</v>
      </c>
      <c r="D198" s="1">
        <v>126.0</v>
      </c>
      <c r="E198" s="1">
        <v>28.0</v>
      </c>
      <c r="G198" s="2" t="str">
        <f t="shared" si="1"/>
        <v>High</v>
      </c>
      <c r="H198" s="2" t="str">
        <f t="shared" si="2"/>
        <v>Saver</v>
      </c>
    </row>
    <row r="199">
      <c r="A199" s="1">
        <v>198.0</v>
      </c>
      <c r="B199" s="1" t="s">
        <v>8</v>
      </c>
      <c r="C199" s="1">
        <v>32.0</v>
      </c>
      <c r="D199" s="1">
        <v>126.0</v>
      </c>
      <c r="E199" s="1">
        <v>74.0</v>
      </c>
      <c r="G199" s="2" t="str">
        <f t="shared" si="1"/>
        <v>High</v>
      </c>
      <c r="H199" s="2" t="str">
        <f t="shared" si="2"/>
        <v>Shopper</v>
      </c>
    </row>
    <row r="200">
      <c r="A200" s="1">
        <v>199.0</v>
      </c>
      <c r="B200" s="1" t="s">
        <v>8</v>
      </c>
      <c r="C200" s="1">
        <v>32.0</v>
      </c>
      <c r="D200" s="1">
        <v>137.0</v>
      </c>
      <c r="E200" s="1">
        <v>18.0</v>
      </c>
      <c r="G200" s="2" t="str">
        <f t="shared" si="1"/>
        <v>High</v>
      </c>
      <c r="H200" s="2" t="str">
        <f t="shared" si="2"/>
        <v>Saver</v>
      </c>
    </row>
    <row r="201">
      <c r="A201" s="1">
        <v>200.0</v>
      </c>
      <c r="B201" s="1" t="s">
        <v>8</v>
      </c>
      <c r="C201" s="1">
        <v>30.0</v>
      </c>
      <c r="D201" s="1">
        <v>137.0</v>
      </c>
      <c r="E201" s="1">
        <v>83.0</v>
      </c>
      <c r="G201" s="2" t="str">
        <f t="shared" si="1"/>
        <v>High</v>
      </c>
      <c r="H201" s="2" t="str">
        <f t="shared" si="2"/>
        <v>Shopper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